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TAM Build" sheetId="3" state="visible" r:id="rId5"/>
    <sheet name="SAM &amp; SOM" sheetId="4" state="visible" r:id="rId6"/>
    <sheet name="Enumeration" sheetId="5" state="visible" r:id="rId7"/>
    <sheet name="Market Map" sheetId="6" state="visible" r:id="rId8"/>
    <sheet name="Sensitivit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<sst xmlns="http://schemas.openxmlformats.org/spreadsheetml/2006/main" count="639" uniqueCount="575">
  <si>
    <t xml:space="preserve">TAM / SAM / SOM Model: Trailer Park, the audience-demand layer for unproduced stories</t>
  </si>
  <si>
    <t xml:space="preserve">Granular bottoms-up build. Prepared 19 September 2026. Layout follows the team's granular model convention. All figures USD per year.</t>
  </si>
  <si>
    <t xml:space="preserve">METHOD</t>
  </si>
  <si>
    <t xml:space="preserve">TAM is defined as CURRENT SPEND on the problem, on both sides of the market. B2B: what studios, streamers, producers, financiers and sales agents already pay to decide what to make (audience research, demand analytics, script evaluation) plus what writers and small production companies already pay to get a script noticed, packaged and sold. B2C: what fans already pay to take part in film (a membership with a vote, a pledge, a film identity). The two pools are quoted separately. B2B is the revenue market today. B2C is proof of appetite: today fans never pay to vote, so it becomes addressable only if pledges or a membership are adopted (open decision). The build excludes the money being decided ($255B of content spend, $33.6B of box office), internal story departments, our own planned success fee, creator memberships, cinema subscriptions, advertising attention, the short-drama app market, and the expansion effect of AI lowering the cost of a test from $10-25K to under $200; the excluded lines are kept as MEMO rows so a reader can see them. Value at stake is shown on the summary as context and is never added to TAM.</t>
  </si>
  <si>
    <t xml:space="preserve">HOW TO USE</t>
  </si>
  <si>
    <t xml:space="preserve">Every input is a blue cell on the Assumptions tab with Low / Base / High columns. The Low column always holds the TAM-minimising end. The TAM Build tab pulls each variable over from Assumptions (green cells) so every line shows its own arithmetic, with the calculated line directly beneath its drivers and a summary table at the bottom. Market size is presented in layers that must never be conflated in external documents: TAM (global current spend); SAM-NOW (the same spend inside the V1 wedge: English-language, US + UK, horror and genre first); REACHABLE REVENUE (wedge organisations at planned list prices); and SOM (the year-5 revenue plan). Check rows compare the layers. Rows marked MEMO are shown for context and are not summed. Yellow cells are the highest-leverage assumptions. Every computed cell is a live formula.</t>
  </si>
  <si>
    <t xml:space="preserve">COLOUR LEGEND</t>
  </si>
  <si>
    <t xml:space="preserve">Blue text = input (Assumptions tab). Green text = variable pulled from another tab. Black text = calculation. Yellow fill = key lever. Grey italic = source or note. Shaded rows = subtotals and results. Source tags: SOURCED = published figure; DERIVED = arithmetic on sourced figures; ESTIMATE = analyst judgement, anchor stated; HYPOTHESIS = our own price or plan, untested.</t>
  </si>
  <si>
    <t xml:space="preserve">KEY SOURCES</t>
  </si>
  <si>
    <t xml:space="preserve">Ampere Analysis (global content spend 2026, $255B). Gower Street Analytics (global box office 2025, $33.6B). Angel Studios Q2 2026 results (2.61M paying Guild members, $90.7M quarterly Guild revenue). Kickstarter and Seed&amp;Spark public stats. Patreon via Axios (Aug 2025). Letterboxd via TIME (2026). Sensor Tower State of Short Drama Apps 2026; Deloitte TMT Predictions 2026. ESOMAR Global Market Research ($153B insights industry, context only). WGA Schedule of Minimums; WGAW annual report via THR. MovieBytes contest logs (Austin, PAGE). Sundance 2026 submissions; Cannes Marche and AFM 2025 facts and figures. Comscore via TheWrap (wide releases). Cinema United 2025 (200M+ moviegoers) and Deadline (780M admissions, 2025). Vendor revenue figures are scraped company-profile estimates and are tagged low reliability.</t>
  </si>
  <si>
    <t xml:space="preserve">WHAT THE MODEL SAYS (base case)</t>
  </si>
  <si>
    <t xml:space="preserve">1) The industry decides $255B a year and buys about $0.36B of help deciding (research, analytics, script coverage), roughly 0.14%. About $0.15B of that asks an audience, and only ~$13M asks before a film exists, because today's test costs $10-25K and needs a finished film. 2) Writers and small producers spend another ~$0.08B getting scripts seen: B2B TAM ~$0.45B. 3) Fans already pay about the same again, ~$0.45B a year, to take part in film, and the closest comparable (a guild membership that includes a vote on releases) grew 99% in twelve months. 4) The business case is category expansion, not share-taking: at list prices the wedge's reachable revenue is about equal to everything those buyers spend today, and the $48K seat is about twice their data-tool budget.</t>
  </si>
  <si>
    <t xml:space="preserve">VALIDATE FIRST (largest swing per Sensitivity tab)</t>
  </si>
  <si>
    <t xml:space="preserve">1) Paying guild members, and what share of that fee really buys the vote. 2) Tier 1 analytics spend per buyer and buyer count: no public contract data. 3) Research vendor revenue, the other-vendor multiplier and the pre-greenlight share. 4) Packaging spend per project and the count of projects packaged. 5) Reachable wedge organisations: the count is an estimate until the Enumeration tab is filled; horror affinity and the share of fans who pay drive the B2C SAM. 6) Monthly actives as a share of registered fans: a 25-trailer horror feed test answers it cheaply. OPEN RECONCILIATION: the bottom-up year-5 plan implies capturing ~15% of B2B SAM-now, above the 3-10% top-down band. The gap is the category-expansion bet (testing scripts nobody tests today); paid pilots must close it from the evidence side or the SOM comes down. OPEN DECISION: B2C monetisation. Under the current stance (no ads, no pay-to-vote) B2C is the engine that produces the signal and the owned audience, not a revenue line.</t>
  </si>
  <si>
    <t xml:space="preserve">Assumptions (blue = input; Low column = TAM-minimising end of each input; USD per year)</t>
  </si>
  <si>
    <t xml:space="preserve">Input</t>
  </si>
  <si>
    <t xml:space="preserve">Low</t>
  </si>
  <si>
    <t xml:space="preserve">Base</t>
  </si>
  <si>
    <t xml:space="preserve">High</t>
  </si>
  <si>
    <t xml:space="preserve">Source / note</t>
  </si>
  <si>
    <t xml:space="preserve">B2B BUYER SIDE · SEGMENT A: AUDIENCE AND CONCEPT RESEARCH (studios, streamers)</t>
  </si>
  <si>
    <t xml:space="preserve">Largest entertainment research vendor, revenue ($/yr)</t>
  </si>
  <si>
    <t xml:space="preserve">SOURCED, low reliability: scraped company-profile estimate for National Research Group (growjo.com). Validate against the Stagwell 10-K segment note. Held constant.</t>
  </si>
  <si>
    <t xml:space="preserve">Share of that revenue that is film and TV (%)</t>
  </si>
  <si>
    <t xml:space="preserve">ESTIMATE. Vendor has diversified into tech, gaming and sports.</t>
  </si>
  <si>
    <t xml:space="preserve">Second vendor, revenue ($/yr)</t>
  </si>
  <si>
    <t xml:space="preserve">SOURCED, low reliability: Screen Engine/ASI estimate (datanyze.com). Held constant.</t>
  </si>
  <si>
    <t xml:space="preserve">ESTIMATE.</t>
  </si>
  <si>
    <t xml:space="preserve">Multiplier for all other vendors (x)</t>
  </si>
  <si>
    <t xml:space="preserve">ESTIMATE. Covers tracking, exit polling, concept and trailer testing suppliers. Cross-check: ~105 wide releases x ~$750K research per title = $79M before streamers and TV.</t>
  </si>
  <si>
    <t xml:space="preserve">MEMO North American wide releases (count/yr)</t>
  </si>
  <si>
    <t xml:space="preserve">SOURCED: Comscore via TheWrap, 101 (2023), ~110 (2025E).</t>
  </si>
  <si>
    <t xml:space="preserve">MEMO Share of wide releases test-screened (%)</t>
  </si>
  <si>
    <t xml:space="preserve">SOURCED, weak: "90% of wide studio films, average three screenings" (Goetz / BBC 2022 via Wikipedia, Test screening).</t>
  </si>
  <si>
    <t xml:space="preserve">MEMO Screenings per tested wide title (count)</t>
  </si>
  <si>
    <t xml:space="preserve">Same source.</t>
  </si>
  <si>
    <t xml:space="preserve">MEMO Cost per recruited studio screening ($)</t>
  </si>
  <si>
    <t xml:space="preserve">SOURCED: $10-20K for 300-500 seats (dawsonagents.com guide). The $25K figure on scene 2 of the deck (Forbes 2017) is carried as the High only.</t>
  </si>
  <si>
    <t xml:space="preserve">MEMO Other screenings: limited, streamer films, series (US, $/yr)</t>
  </si>
  <si>
    <t xml:space="preserve">ESTIMATE built from release and series counts (The Numbers; Netflix originals count; FX tally of 516 scripted series 2023) x share tested x screenings x cost.</t>
  </si>
  <si>
    <t xml:space="preserve">MEMO Rest-of-world uplift on screenings (x)</t>
  </si>
  <si>
    <t xml:space="preserve">ESTIMATE. Test screening is mainly a US/UK practice.</t>
  </si>
  <si>
    <t xml:space="preserve">MEMO Pre-greenlight share of non-screening research (%)</t>
  </si>
  <si>
    <t xml:space="preserve">ESTIMATE. Most research money is spent after the film exists. This is the slice a Demand Certificate directly replaces.</t>
  </si>
  <si>
    <t xml:space="preserve">B2B BUYER SIDE · SEGMENT B: DEMAND ANALYTICS AND DATA SUBSCRIPTIONS</t>
  </si>
  <si>
    <t xml:space="preserve">Tier 1 buyers: majors, global streamers, large broadcaster groups (count)</t>
  </si>
  <si>
    <t xml:space="preserve">Tier 1 content-analytics spend per buyer ($/yr)</t>
  </si>
  <si>
    <t xml:space="preserve">ESTIMATE. No public contract values. Excludes ratings currency (Nielsen, Comscore TV) and excludes the research vendors already counted in segment A.</t>
  </si>
  <si>
    <t xml:space="preserve">Tier 2 buyers: mini-majors, regional streamers, scripted commissioners, top distributors (count)</t>
  </si>
  <si>
    <t xml:space="preserve">Tier 2 annual contract value ($/yr)</t>
  </si>
  <si>
    <t xml:space="preserve">ESTIMATE, in line with the planned $90-150K data-feed price.</t>
  </si>
  <si>
    <t xml:space="preserve">Tier 3 buyers: independents, sales agents, financiers (count)</t>
  </si>
  <si>
    <t xml:space="preserve">ESTIMATE anchored to SOURCED counts: AFM 2025 285 exhibiting companies; Cannes Marche 600+ exhibitors and ~4,000 films and projects; IFTA 70+ members.</t>
  </si>
  <si>
    <t xml:space="preserve">Tier 3 annual tool spend ($/yr)</t>
  </si>
  <si>
    <t xml:space="preserve">ESTIMATE. Professional database and box-office data subscriptions.</t>
  </si>
  <si>
    <t xml:space="preserve">B2B BUYER SIDE · SEGMENT C: SCRIPT EVALUATION (coverage, readers, story departments)</t>
  </si>
  <si>
    <t xml:space="preserve">US companies with a real development function (count)</t>
  </si>
  <si>
    <t xml:space="preserve">DERIVED: IBISWorld 50,981 US production businesses (2025) x 1.5-6%; BFI found ~7.5% of UK companies made a feature.</t>
  </si>
  <si>
    <t xml:space="preserve">Coverage and evaluation spend per company ($/yr)</t>
  </si>
  <si>
    <t xml:space="preserve">MEMO Major and streamer story departments (count)</t>
  </si>
  <si>
    <t xml:space="preserve">ESTIMATE. Internal salaries, not purchasable spend: shown as a memo only. Held constant.</t>
  </si>
  <si>
    <t xml:space="preserve">MEMO Story department cost ($/yr)</t>
  </si>
  <si>
    <t xml:space="preserve">B2B BUYER SIDE · MEMO D: SCRIPT ACQUISITION (our own planned success fee; not current spend, so not in TAM)</t>
  </si>
  <si>
    <t xml:space="preserve">Studio-level spec sales (count/yr)</t>
  </si>
  <si>
    <t xml:space="preserve">Anchors SOURCED: 124 (2013), 132 (2011-12) per Scoggins Report; summer 2025 had 23 sales (Final Draft). The 2020s annual count is an ESTIMATE.</t>
  </si>
  <si>
    <t xml:space="preserve">Average spec purchase price ($)</t>
  </si>
  <si>
    <t xml:space="preserve">ESTIMATE. WGA 2025-26 minimums SOURCED: $90,904 (budget under $5M), $170,655 (over).</t>
  </si>
  <si>
    <t xml:space="preserve">Independent US+UK script purchases (count/yr)</t>
  </si>
  <si>
    <t xml:space="preserve">ESTIMATE: 600/800/1,200 independent features x 20/30/40% bought from a third-party writer.</t>
  </si>
  <si>
    <t xml:space="preserve">Independent purchase price ($)</t>
  </si>
  <si>
    <t xml:space="preserve">SOURCED range $15-100K (scriptlix.com, 2026).</t>
  </si>
  <si>
    <t xml:space="preserve">Independent options (count/yr)</t>
  </si>
  <si>
    <t xml:space="preserve">ESTIMATE: three to five options per purchase.</t>
  </si>
  <si>
    <t xml:space="preserve">Option price ($)</t>
  </si>
  <si>
    <t xml:space="preserve">SOURCED range $1-50K, same source.</t>
  </si>
  <si>
    <t xml:space="preserve">Success fee on purchases (%)</t>
  </si>
  <si>
    <t xml:space="preserve">Planned fee, project instructions: 1-2% of purchase price. Counsel to confirm against the Talent Agencies Act.</t>
  </si>
  <si>
    <t xml:space="preserve">Success fee on options (%)</t>
  </si>
  <si>
    <t xml:space="preserve">Planned fee, project instructions: 3-5% of option.</t>
  </si>
  <si>
    <t xml:space="preserve">B2B CREATOR SIDE · SEGMENT E: WRITERS AND SMALL PRODUCTION COMPANIES (spend to get a script noticed, packaged, sold)</t>
  </si>
  <si>
    <t xml:space="preserve">Paid screenplay contest entries, all contests (count/yr)</t>
  </si>
  <si>
    <t xml:space="preserve">ESTIMATE. Top ~10 contests total ~60K (SOURCED: Austin 11.5-14.6K, PAGE 9.1-10.5K via MovieBytes); 449 contests listed on MovieBytes. Count spend, not people: ~50K paying writers enter ~4 each.</t>
  </si>
  <si>
    <t xml:space="preserve">Average entry fee ($)</t>
  </si>
  <si>
    <t xml:space="preserve">DERIVED from published fee tables: Austin $50-90, PAGE $49+, Big Break $45-155.</t>
  </si>
  <si>
    <t xml:space="preserve">Entries buying the feedback add-on (%)</t>
  </si>
  <si>
    <t xml:space="preserve">Feedback add-on price ($)</t>
  </si>
  <si>
    <t xml:space="preserve">SOURCED: PAGE Awards, $100 with an entry. Held constant.</t>
  </si>
  <si>
    <t xml:space="preserve">Scripts on paid hosting at any one time (count)</t>
  </si>
  <si>
    <t xml:space="preserve">ESTIMATE. No public figure.</t>
  </si>
  <si>
    <t xml:space="preserve">Hosting price ($/yr)</t>
  </si>
  <si>
    <t xml:space="preserve">SOURCED: $30 a month (the Black List). Held constant.</t>
  </si>
  <si>
    <t xml:space="preserve">Paid hosted evaluations (count/yr)</t>
  </si>
  <si>
    <t xml:space="preserve">Evaluation price ($)</t>
  </si>
  <si>
    <t xml:space="preserve">SOURCED: $100 per feature evaluation. Held constant.</t>
  </si>
  <si>
    <t xml:space="preserve">Standalone human coverage orders (count/yr)</t>
  </si>
  <si>
    <t xml:space="preserve">ESTIMATE: about one order per paying writer.</t>
  </si>
  <si>
    <t xml:space="preserve">Coverage price ($)</t>
  </si>
  <si>
    <t xml:space="preserve">SOURCED range $80-449 (itsondesk.com pricing survey).</t>
  </si>
  <si>
    <t xml:space="preserve">AI coverage reports ($/yr)</t>
  </si>
  <si>
    <t xml:space="preserve">Price SOURCED ($9.99-29 per report); volume ESTIMATE.</t>
  </si>
  <si>
    <t xml:space="preserve">Writers hiring a script consultant (count/yr)</t>
  </si>
  <si>
    <t xml:space="preserve">Consultant spend per writer ($/yr)</t>
  </si>
  <si>
    <t xml:space="preserve">ESTIMATE. Public rates $500-2,500.</t>
  </si>
  <si>
    <t xml:space="preserve">Paid pitch sessions (count/yr)</t>
  </si>
  <si>
    <t xml:space="preserve">Price per pitch session ($)</t>
  </si>
  <si>
    <t xml:space="preserve">Anchor: $35 (2017 forum thread); current price unverified.</t>
  </si>
  <si>
    <t xml:space="preserve">Paid listing and network memberships (count)</t>
  </si>
  <si>
    <t xml:space="preserve">ESTIMATE. InkTip plus ISAConnect.</t>
  </si>
  <si>
    <t xml:space="preserve">Blended membership price ($/yr)</t>
  </si>
  <si>
    <t xml:space="preserve">SOURCED prices: InkTip $19.99/month; ISAConnect $135/year. Blend held constant.</t>
  </si>
  <si>
    <t xml:space="preserve">English-language features actively packaged for finance (count/yr)</t>
  </si>
  <si>
    <t xml:space="preserve">ESTIMATE, 1.2-5x the ~4K completed-feature flow. Anchors SOURCED: Sundance 2026 had 4,255 feature submissions; Cannes Marche ~4,000 films and projects.</t>
  </si>
  <si>
    <t xml:space="preserve">Packaging spend per project: deck, lookbook, sizzle, concept art ($)</t>
  </si>
  <si>
    <t xml:space="preserve">DERIVED from SOURCED prices (deck $300-5K; sizzle $1-10K per finished minute) x ESTIMATED attach rates. Widest band and weakest evidence in the creator build.</t>
  </si>
  <si>
    <t xml:space="preserve">Writers buying their own pitch deck (count/yr)</t>
  </si>
  <si>
    <t xml:space="preserve">Writer deck price ($)</t>
  </si>
  <si>
    <t xml:space="preserve">Low SOURCED ($300); rest ESTIMATE.</t>
  </si>
  <si>
    <t xml:space="preserve">B2C · SEGMENT F: WHAT FANS ALREADY PAY TO TAKE PART IN FILM (a vote, a pledge, a film identity)</t>
  </si>
  <si>
    <t xml:space="preserve">Paying members of a vote-on-what-gets-released film guild (count)</t>
  </si>
  <si>
    <t xml:space="preserve">SOURCED: Angel Studios Q2 2026 results (Business Wire, 4 Aug 2026): 2.61M paying Guild members, +99.2% year on year, 2.85M at 31 July. Low = the year-ago count (DERIVED).</t>
  </si>
  <si>
    <t xml:space="preserve">Revenue per guild member ($/yr)</t>
  </si>
  <si>
    <t xml:space="preserve">DERIVED: $90.7M Guild revenue in the quarter / 2.61M / 3 x 12. Caveat: the membership bundles a streaming library and ticket perks with the vote, and its audience is faith and family, not horror. Held constant.</t>
  </si>
  <si>
    <t xml:space="preserve">Rewards crowdfunding pledged to film and video, largest platform ($/yr)</t>
  </si>
  <si>
    <t xml:space="preserve">DERIVED: $617M lifetime film and video pledges over ~17 years (Kickstarter stats); High = 7% of $706M pledged in 2024.</t>
  </si>
  <si>
    <t xml:space="preserve">Other rewards platforms, film ($/yr)</t>
  </si>
  <si>
    <t xml:space="preserve">ESTIMATE. Seed&amp;Spark $97.8M lifetime SOURCED (~$7M/yr); Indiegogo film not published. Platform fees paid out of these pledges are NOT counted again on the creator side.</t>
  </si>
  <si>
    <t xml:space="preserve">Members of the leading film-diary community (count)</t>
  </si>
  <si>
    <t xml:space="preserve">SOURCED: Letterboxd 28-30M members, more than half under 35 (TIME, 2026).</t>
  </si>
  <si>
    <t xml:space="preserve">Share on a paid tier (%)</t>
  </si>
  <si>
    <t xml:space="preserve">Blended paid-tier price ($/yr)</t>
  </si>
  <si>
    <t xml:space="preserve">ESTIMATE from list prices (~$19 and ~$49), unverified. Held constant.</t>
  </si>
  <si>
    <t xml:space="preserve">MEMO Platform fee on pledges (%)</t>
  </si>
  <si>
    <t xml:space="preserve">Planned fee per project instructions (5-8%). Used only for the fee-basis memo line.</t>
  </si>
  <si>
    <t xml:space="preserve">MEMO Creator-membership payouts, all categories ($/yr)</t>
  </si>
  <si>
    <t xml:space="preserve">SOURCED: Patreon, more than $2B a year to creators, 25M paid memberships (Axios, Aug 2025). Held constant.</t>
  </si>
  <si>
    <t xml:space="preserve">MEMO Share going to film and video creators (%)</t>
  </si>
  <si>
    <t xml:space="preserve">ESTIMATE. No category split published, and most "video" creators are not film. Memo only, not in TAM.</t>
  </si>
  <si>
    <t xml:space="preserve">MEMO Cinema subscription members, US (count)</t>
  </si>
  <si>
    <t xml:space="preserve">SOURCED but stale: AMC A-List 860K (2019, Boxoffice Pro). This is box office by another route, so it is a memo only, not in TAM.</t>
  </si>
  <si>
    <t xml:space="preserve">MEMO Subscription price ($/yr)</t>
  </si>
  <si>
    <t xml:space="preserve">DERIVED: ~$22 a month. Held constant.</t>
  </si>
  <si>
    <t xml:space="preserve">MEMO Short-drama apps, in-app revenue outside China, 2025 ($/yr)</t>
  </si>
  <si>
    <t xml:space="preserve">SOURCED: Sensor Tower $2.98B (+115%); High is the Deloitte TMT 2026 figure. Adjacent behaviour (paying for short-form story), NOT in TAM. Note: Q1 2026 run-rate of ~$750M a quarter annualises to ~$3.0B and does not support the Deloitte $7.8B 2026 forecast quoted on scene 3.</t>
  </si>
  <si>
    <t xml:space="preserve">SAM INPUTS: V1 WEDGE (English-language, US + UK, horror and genre first, budgets under $15M)</t>
  </si>
  <si>
    <t xml:space="preserve">US + UK share of the substitutable research slice (%)</t>
  </si>
  <si>
    <t xml:space="preserve">ESTIMATE. Held constant.</t>
  </si>
  <si>
    <t xml:space="preserve">Genre share of that slice (%)</t>
  </si>
  <si>
    <t xml:space="preserve">ESTIMATE. Horror was 14%+ of the 2025 domestic box office (The Numbers via Screamwire); thriller adds to it.</t>
  </si>
  <si>
    <t xml:space="preserve">Reachable buyer organisations in the wedge (count)</t>
  </si>
  <si>
    <t xml:space="preserve">ESTIMATE, sum of components (Low/Base/High): studio genre labels 8/10/12; genre distributors 15/25/35; genre production companies 40/80/150; sales agents handling genre 60/100/140; financiers 20/40/60; streamer genre teams 8/12/15. NOT YET ENUMERATED: fill the Enumeration tab from the AFM exhibitor list and Cinando before quoting a precise count.</t>
  </si>
  <si>
    <t xml:space="preserve">Data-tool spend per wedge organisation ($/yr)</t>
  </si>
  <si>
    <t xml:space="preserve">Evaluation spend per wedge organisation ($/yr)</t>
  </si>
  <si>
    <t xml:space="preserve">Paying writers, English-language, US + UK (count)</t>
  </si>
  <si>
    <t xml:space="preserve">DERIVED: ~80% of the ~50K global paying-aspirant core (contest entries / ~4 per writer).</t>
  </si>
  <si>
    <t xml:space="preserve">Have a finished feature script (%)</t>
  </si>
  <si>
    <t xml:space="preserve">Writing horror or thriller (%)</t>
  </si>
  <si>
    <t xml:space="preserve">ESTIMATE. Austin runs a dedicated horror category.</t>
  </si>
  <si>
    <t xml:space="preserve">Spend per paying writer ($/yr)</t>
  </si>
  <si>
    <t xml:space="preserve">DERIVED: writer-side base spend $43.4M / 50K paying writers = ~$870.</t>
  </si>
  <si>
    <t xml:space="preserve">Genre projects packaged by small US + UK companies (count/yr)</t>
  </si>
  <si>
    <t xml:space="preserve">ESTIMATE: 2-8K small companies x horror/thriller share x 1.5 projects.</t>
  </si>
  <si>
    <t xml:space="preserve">Horror affinity among 18-34s (%)</t>
  </si>
  <si>
    <t xml:space="preserve">Low and High are SOURCED bounds from a secondary source (Screamwire 2026): 22% "love" horror; 91% of Gen Z watch it (capped at 50%). Base 35% is an ESTIMATE between them.</t>
  </si>
  <si>
    <t xml:space="preserve">US + UK population aged 18-34 (count)</t>
  </si>
  <si>
    <t xml:space="preserve">ESTIMATE from census figures (US ~76M, UK ~14.5M).</t>
  </si>
  <si>
    <t xml:space="preserve">Reachable through short-form social (%)</t>
  </si>
  <si>
    <t xml:space="preserve">Share of SAM fans who pay to take part in film (%)</t>
  </si>
  <si>
    <t xml:space="preserve">ESTIMATE. Anchor: 2.61M paying guild members is ~1% of US adults; 23.8M people have ever backed a Kickstarter project in any category.</t>
  </si>
  <si>
    <t xml:space="preserve">Spend per paying fan ($/yr)</t>
  </si>
  <si>
    <t xml:space="preserve">ESTIMATE. Anchors: guild ~$139/yr; typical film pledge $25-90; film-diary tier ~$25.</t>
  </si>
  <si>
    <t xml:space="preserve">REACHABLE REVENUE INPUTS (wedge, at planned list prices)</t>
  </si>
  <si>
    <t xml:space="preserve">Concepts certified per wedge organisation (count/yr)</t>
  </si>
  <si>
    <t xml:space="preserve">HYPOTHESIS pending pilots.</t>
  </si>
  <si>
    <t xml:space="preserve">Certificate price per concept ($)</t>
  </si>
  <si>
    <t xml:space="preserve">Planned price band, $1.2-2K per concept.</t>
  </si>
  <si>
    <t xml:space="preserve">Market-access seat, annual ($)</t>
  </si>
  <si>
    <t xml:space="preserve">Planned price, ~$4K a month. NOTE: about twice the wedge buyer's estimated data-tool budget ($25K base), so expect a tiered seat or proof that buyers will pay it. Held constant.</t>
  </si>
  <si>
    <t xml:space="preserve">SOM INPUTS: YEAR-5 REVENUE PLAN (planning targets, not researched facts)</t>
  </si>
  <si>
    <t xml:space="preserve">Top-down capture of B2B SAM-now, year 5 (%)</t>
  </si>
  <si>
    <t xml:space="preserve">Benchmark: specialist B2B data tools typically take 2-6% of their addressable base in five years.</t>
  </si>
  <si>
    <t xml:space="preserve">Concepts certified, year 5 (count)</t>
  </si>
  <si>
    <t xml:space="preserve">Planning target.</t>
  </si>
  <si>
    <t xml:space="preserve">Market-access seats, year 5 (count)</t>
  </si>
  <si>
    <t xml:space="preserve">Planning target, against 151-412 reachable organisations.</t>
  </si>
  <si>
    <t xml:space="preserve">Enterprise data-feed customers, year 5 (count)</t>
  </si>
  <si>
    <t xml:space="preserve">Data-feed price ($/yr)</t>
  </si>
  <si>
    <t xml:space="preserve">Planned price band.</t>
  </si>
  <si>
    <t xml:space="preserve">Creator sell-kits sold, year 5 (count)</t>
  </si>
  <si>
    <t xml:space="preserve">Planning target, against 1.9-11.7K wedge writers.</t>
  </si>
  <si>
    <t xml:space="preserve">Sell-kit price ($)</t>
  </si>
  <si>
    <t xml:space="preserve">HYPOTHESIS. Sits beside ~$870 a year of existing writer spend.</t>
  </si>
  <si>
    <t xml:space="preserve">Options or sales originated on the platform, year 5 (count)</t>
  </si>
  <si>
    <t xml:space="preserve">Average success fee per deal ($)</t>
  </si>
  <si>
    <t xml:space="preserve">DERIVED from the option and purchase prices above.</t>
  </si>
  <si>
    <t xml:space="preserve">Share of SAM fans who register by year 3-5 (%)</t>
  </si>
  <si>
    <t xml:space="preserve">Monthly actives as a share of registered (%)</t>
  </si>
  <si>
    <t xml:space="preserve">ESTIMATE. Media-app day-30 retention median is 7%, strong apps 10-15% (UXCam 2026).</t>
  </si>
  <si>
    <t xml:space="preserve">B2C revenue per monthly active, current stance: pledge fee + owned-audience value ($/yr)</t>
  </si>
  <si>
    <t xml:space="preserve">DERIVED. Pledge fee: 1/3/6% of actives pledging x $25/50/90 x 5-8%. Owned audience: 0.2-1.0 backed films released x $0.30-3 per opted-in backer; lags two to three years.</t>
  </si>
  <si>
    <t xml:space="preserve">MEMO B2C revenue per monthly active if membership + sponsorship are adopted ($/yr)</t>
  </si>
  <si>
    <t xml:space="preserve">OPTION NOT DECIDED; project instructions currently reject ads and pay-to-vote because they degrade the signal. Shown so the tradeoff is visible. Excluded from SOM.</t>
  </si>
  <si>
    <t xml:space="preserve">TAM Build: variables pulled from Assumptions (green), calculations beneath them (black), summary at bottom</t>
  </si>
  <si>
    <t xml:space="preserve">Line</t>
  </si>
  <si>
    <t xml:space="preserve">Build logic</t>
  </si>
  <si>
    <t xml:space="preserve">B2B BUYER SIDE · SEGMENT A: AUDIENCE AND CONCEPT RESEARCH</t>
  </si>
  <si>
    <t xml:space="preserve">      Largest entertainment research vendor, revenue ($/yr)</t>
  </si>
  <si>
    <t xml:space="preserve">      Share of that revenue that is film and TV (%)</t>
  </si>
  <si>
    <t xml:space="preserve">      Second vendor, revenue ($/yr)</t>
  </si>
  <si>
    <t xml:space="preserve">      Multiplier for all other vendors (x)</t>
  </si>
  <si>
    <t xml:space="preserve">A. Entertainment audience research spend</t>
  </si>
  <si>
    <t xml:space="preserve">Vendor-revenue build: two known vendors x film/TV share, grossed up for the rest of the field. Test screenings sit INSIDE this line.</t>
  </si>
  <si>
    <t xml:space="preserve">      MEMO North American wide releases (count/yr)</t>
  </si>
  <si>
    <t xml:space="preserve">      MEMO Share of wide releases test-screened (%)</t>
  </si>
  <si>
    <t xml:space="preserve">      MEMO Screenings per tested wide title (count)</t>
  </si>
  <si>
    <t xml:space="preserve">      MEMO Cost per recruited studio screening ($)</t>
  </si>
  <si>
    <t xml:space="preserve">      MEMO Other screenings: limited, streamer films, series (US, $/yr)</t>
  </si>
  <si>
    <t xml:space="preserve">      MEMO Rest-of-world uplift on screenings (x)</t>
  </si>
  <si>
    <t xml:space="preserve">MEMO A1. Recruited test screenings, global (inside A)</t>
  </si>
  <si>
    <t xml:space="preserve">Not summed. Wide releases x share tested x screenings x cost, plus other screenings, x rest-of-world uplift.</t>
  </si>
  <si>
    <t xml:space="preserve">      MEMO Pre-greenlight share of non-screening research (%)</t>
  </si>
  <si>
    <t xml:space="preserve">MEMO A3. Pre-greenlight audience research (asked before a film exists)</t>
  </si>
  <si>
    <t xml:space="preserve">Not summed. The only audience research bought before the money is committed.</t>
  </si>
  <si>
    <t xml:space="preserve">MEMO A2. Directly substitutable slice: screenings + pre-greenlight research</t>
  </si>
  <si>
    <t xml:space="preserve">Not summed. The part of today's research spend a Demand Certificate can replace or precede. Screenings test finished films; only A3 is spent before a film exists.</t>
  </si>
  <si>
    <t xml:space="preserve">      Tier 1 buyers: majors, global streamers, large broadcaster groups (count)</t>
  </si>
  <si>
    <t xml:space="preserve">      Tier 1 content-analytics spend per buyer ($/yr)</t>
  </si>
  <si>
    <t xml:space="preserve">B1. Tier 1 buyers</t>
  </si>
  <si>
    <t xml:space="preserve">Count x spend. Excludes ratings currency.</t>
  </si>
  <si>
    <t xml:space="preserve">      Tier 2 buyers: mini-majors, regional streamers, scripted commissioners, top distributors (count)</t>
  </si>
  <si>
    <t xml:space="preserve">      Tier 2 annual contract value ($/yr)</t>
  </si>
  <si>
    <t xml:space="preserve">B2. Tier 2 buyers</t>
  </si>
  <si>
    <t xml:space="preserve">Count x contract value.</t>
  </si>
  <si>
    <t xml:space="preserve">      Tier 3 buyers: independents, sales agents, financiers (count)</t>
  </si>
  <si>
    <t xml:space="preserve">      Tier 3 annual tool spend ($/yr)</t>
  </si>
  <si>
    <t xml:space="preserve">B3. Tier 3 buyers</t>
  </si>
  <si>
    <t xml:space="preserve">Count x tool spend.</t>
  </si>
  <si>
    <t xml:space="preserve">B. DEMAND ANALYTICS SUBTOTAL</t>
  </si>
  <si>
    <t xml:space="preserve">Cross-check: known vendor revenues sum to roughly $150-250M, which brackets the Base.</t>
  </si>
  <si>
    <t xml:space="preserve">B2B BUYER SIDE · SEGMENT C: SCRIPT EVALUATION</t>
  </si>
  <si>
    <t xml:space="preserve">      US companies with a real development function (count)</t>
  </si>
  <si>
    <t xml:space="preserve">      Coverage and evaluation spend per company ($/yr)</t>
  </si>
  <si>
    <t xml:space="preserve">C1. Production companies: coverage and evaluation</t>
  </si>
  <si>
    <t xml:space="preserve">Evaluation spend only. Writer fees and options are excluded (they are the thing being decided, not the cost of deciding).</t>
  </si>
  <si>
    <t xml:space="preserve">C. SCRIPT EVALUATION SUBTOTAL</t>
  </si>
  <si>
    <t xml:space="preserve">      MEMO Major and streamer story departments (count)</t>
  </si>
  <si>
    <t xml:space="preserve">      MEMO Story department cost ($/yr)</t>
  </si>
  <si>
    <t xml:space="preserve">MEMO C2. Major and streamer story departments (internal, not in TAM)</t>
  </si>
  <si>
    <t xml:space="preserve">Not summed. Internal salaries are not purchasable spend.</t>
  </si>
  <si>
    <t xml:space="preserve">B2B BUYER SIDE · MEMO D: SCRIPT ACQUISITION FEE POOL</t>
  </si>
  <si>
    <t xml:space="preserve">      Studio-level spec sales (count/yr)</t>
  </si>
  <si>
    <t xml:space="preserve">      Average spec purchase price ($)</t>
  </si>
  <si>
    <t xml:space="preserve">      Independent US+UK script purchases (count/yr)</t>
  </si>
  <si>
    <t xml:space="preserve">      Independent purchase price ($)</t>
  </si>
  <si>
    <t xml:space="preserve">      Independent options (count/yr)</t>
  </si>
  <si>
    <t xml:space="preserve">      Option price ($)</t>
  </si>
  <si>
    <t xml:space="preserve">      Success fee on purchases (%)</t>
  </si>
  <si>
    <t xml:space="preserve">      Success fee on options (%)</t>
  </si>
  <si>
    <t xml:space="preserve">MEMO D. Success-fee pool on options and purchases (not in TAM)</t>
  </si>
  <si>
    <t xml:space="preserve">Not summed. This is our own planned fee, not money anyone spends today. Immaterial either way: documented upside, not the plan.</t>
  </si>
  <si>
    <t xml:space="preserve">B2B BUYER SIDE SUBTOTAL (A + B + C)</t>
  </si>
  <si>
    <t xml:space="preserve">What the industry spends deciding what to make.</t>
  </si>
  <si>
    <t xml:space="preserve">B2B CREATOR SIDE · SEGMENT E: WRITERS AND SMALL PRODUCTION COMPANIES</t>
  </si>
  <si>
    <t xml:space="preserve">      Paid screenplay contest entries, all contests (count/yr)</t>
  </si>
  <si>
    <t xml:space="preserve">      Average entry fee ($)</t>
  </si>
  <si>
    <t xml:space="preserve">      Entries buying the feedback add-on (%)</t>
  </si>
  <si>
    <t xml:space="preserve">      Feedback add-on price ($)</t>
  </si>
  <si>
    <t xml:space="preserve">E1. Screenplay contests and feedback add-ons</t>
  </si>
  <si>
    <t xml:space="preserve">Entries x fee, plus add-ons. Counts spend, not people.</t>
  </si>
  <si>
    <t xml:space="preserve">      Scripts on paid hosting at any one time (count)</t>
  </si>
  <si>
    <t xml:space="preserve">      Hosting price ($/yr)</t>
  </si>
  <si>
    <t xml:space="preserve">      Paid hosted evaluations (count/yr)</t>
  </si>
  <si>
    <t xml:space="preserve">      Evaluation price ($)</t>
  </si>
  <si>
    <t xml:space="preserve">E2. Paid hosting and evaluations</t>
  </si>
  <si>
    <t xml:space="preserve">Since 2025 the Nicholl public route runs through paid hosting, so it is counted here and not in E1.</t>
  </si>
  <si>
    <t xml:space="preserve">      Standalone human coverage orders (count/yr)</t>
  </si>
  <si>
    <t xml:space="preserve">      Coverage price ($)</t>
  </si>
  <si>
    <t xml:space="preserve">      AI coverage reports ($/yr)</t>
  </si>
  <si>
    <t xml:space="preserve">      Writers hiring a script consultant (count/yr)</t>
  </si>
  <si>
    <t xml:space="preserve">      Consultant spend per writer ($/yr)</t>
  </si>
  <si>
    <t xml:space="preserve">      Paid pitch sessions (count/yr)</t>
  </si>
  <si>
    <t xml:space="preserve">      Price per pitch session ($)</t>
  </si>
  <si>
    <t xml:space="preserve">      Paid listing and network memberships (count)</t>
  </si>
  <si>
    <t xml:space="preserve">      Blended membership price ($/yr)</t>
  </si>
  <si>
    <t xml:space="preserve">E3. Coverage, consultants, pitching, listings</t>
  </si>
  <si>
    <t xml:space="preserve">Standalone coverage only; contest feedback stays in E1.</t>
  </si>
  <si>
    <t xml:space="preserve">      English-language features actively packaged for finance (count/yr)</t>
  </si>
  <si>
    <t xml:space="preserve">      Packaging spend per project: deck, lookbook, sizzle, concept art ($)</t>
  </si>
  <si>
    <t xml:space="preserve">      Writers buying their own pitch deck (count/yr)</t>
  </si>
  <si>
    <t xml:space="preserve">      Writer deck price ($)</t>
  </si>
  <si>
    <t xml:space="preserve">E4. Packaging: decks, lookbooks, sizzle reels, concept art</t>
  </si>
  <si>
    <t xml:space="preserve">Projects x blended packaging spend, plus writers buying their own deck. This is the spend an AI concept trailer and sell-kit replaces.</t>
  </si>
  <si>
    <t xml:space="preserve">B2B CREATOR SIDE SUBTOTAL (E1-E4)</t>
  </si>
  <si>
    <t xml:space="preserve">What writers and small producers spend getting a script seen. Festival fees and crowdfunding platform fees excluded.</t>
  </si>
  <si>
    <t xml:space="preserve">B2B TAM (BUYER + CREATOR)</t>
  </si>
  <si>
    <t xml:space="preserve">B2C · SEGMENT F: WHAT FANS ALREADY PAY TO TAKE PART IN FILM</t>
  </si>
  <si>
    <t xml:space="preserve">      Paying members of a vote-on-what-gets-released film guild (count)</t>
  </si>
  <si>
    <t xml:space="preserve">      Revenue per guild member ($/yr)</t>
  </si>
  <si>
    <t xml:space="preserve">F1. Guild membership that includes a vote on releases (streaming bundle)</t>
  </si>
  <si>
    <t xml:space="preserve">The closest comparable for paid audience agency. Bundles streaming and tickets, so it is not a pure price of the vote.</t>
  </si>
  <si>
    <t xml:space="preserve">      Rewards crowdfunding pledged to film and video, largest platform ($/yr)</t>
  </si>
  <si>
    <t xml:space="preserve">      Other rewards platforms, film ($/yr)</t>
  </si>
  <si>
    <t xml:space="preserve">F2. Rewards crowdfunding pledged to film and video</t>
  </si>
  <si>
    <t xml:space="preserve">Consumer money pledged to get films made. Equity raises excluded (outside the legal guardrails).</t>
  </si>
  <si>
    <t xml:space="preserve">      Members of the leading film-diary community (count)</t>
  </si>
  <si>
    <t xml:space="preserve">      Share on a paid tier (%)</t>
  </si>
  <si>
    <t xml:space="preserve">      Blended paid-tier price ($/yr)</t>
  </si>
  <si>
    <t xml:space="preserve">F3. Film-diary community paid tiers</t>
  </si>
  <si>
    <t xml:space="preserve">Members x paid share x price.</t>
  </si>
  <si>
    <t xml:space="preserve">B2C POOL (F1-F3)</t>
  </si>
  <si>
    <t xml:space="preserve">What fans pay today to take part in film. Addressable by Trailer Park ONLY if pledges or a membership are adopted (open decision): today fans never pay to vote. Box office, streaming, cinema subscriptions, creator memberships and advertising are excluded.</t>
  </si>
  <si>
    <t xml:space="preserve">      MEMO Platform fee on pledges (%)</t>
  </si>
  <si>
    <t xml:space="preserve">MEMO F2 on a fee basis: what a platform keeps from film pledges</t>
  </si>
  <si>
    <t xml:space="preserve">Not summed. Pledges pass through to film-makers; a platform keeps 5-8%.</t>
  </si>
  <si>
    <t xml:space="preserve">      MEMO Creator-membership payouts, all categories ($/yr)</t>
  </si>
  <si>
    <t xml:space="preserve">      MEMO Share going to film and video creators (%)</t>
  </si>
  <si>
    <t xml:space="preserve">MEMO F4. Creator memberships, film and video (not in TAM)</t>
  </si>
  <si>
    <t xml:space="preserve">Not summed. Unsourced category share; mostly not film.</t>
  </si>
  <si>
    <t xml:space="preserve">      MEMO Cinema subscription members, US (count)</t>
  </si>
  <si>
    <t xml:space="preserve">      MEMO Subscription price ($/yr)</t>
  </si>
  <si>
    <t xml:space="preserve">MEMO F5. Cinema subscriptions (not in TAM)</t>
  </si>
  <si>
    <t xml:space="preserve">Not summed. Box office by another route.</t>
  </si>
  <si>
    <t xml:space="preserve">      MEMO Short-drama apps, in-app revenue outside China, 2025 ($/yr)</t>
  </si>
  <si>
    <t xml:space="preserve">MEMO Short-drama apps outside China, 2025</t>
  </si>
  <si>
    <t xml:space="preserve">Not summed. Shows that paying for short-form story is already mass behaviour.</t>
  </si>
  <si>
    <t xml:space="preserve">TWO POOLS TOGETHER (B2B TAM + B2C POOL)</t>
  </si>
  <si>
    <t xml:space="preserve">Quote the two pools separately. B2B is the revenue market today. B2C is proof of appetite and becomes addressable only with pledges or membership. Excludes the money being decided, advertising, short-drama apps and AI-driven category expansion.</t>
  </si>
  <si>
    <t xml:space="preserve">VALUE AT STAKE (context, never added to TAM)</t>
  </si>
  <si>
    <t xml:space="preserve">Global content spend, 2026 ($)</t>
  </si>
  <si>
    <t xml:space="preserve">SOURCED: Ampere Analysis. Streamers ~$101B of it. CHECK SCOPE: the figure is understood to include sports rights; on scripted spend alone the share below would be higher.</t>
  </si>
  <si>
    <t xml:space="preserve">Global box office, 2025 ($)</t>
  </si>
  <si>
    <t xml:space="preserve">SOURCED: Gower Street Analytics.</t>
  </si>
  <si>
    <t xml:space="preserve">US + Canada cinema admissions, 2025 (count)</t>
  </si>
  <si>
    <t xml:space="preserve">SOURCED: Deadline, Jan 2026 (headline figure).</t>
  </si>
  <si>
    <t xml:space="preserve">US + Canada moviegoers (count)</t>
  </si>
  <si>
    <t xml:space="preserve">SOURCED: Cinema United 2025, "more than 200M", 77% of ages 12-74.</t>
  </si>
  <si>
    <t xml:space="preserve">Spend on deciding as a share of content spend (%)</t>
  </si>
  <si>
    <t xml:space="preserve">Buyer-side TAM / content spend.</t>
  </si>
  <si>
    <t xml:space="preserve">Value of one point of content spend better placed ($/yr)</t>
  </si>
  <si>
    <t xml:space="preserve">Arithmetic, not a forecast: 1% of content spend.</t>
  </si>
  <si>
    <t xml:space="preserve">SUMMARY</t>
  </si>
  <si>
    <t xml:space="preserve">A. Audience and concept research</t>
  </si>
  <si>
    <t xml:space="preserve">B. Demand analytics and data</t>
  </si>
  <si>
    <t xml:space="preserve">C. Script evaluation</t>
  </si>
  <si>
    <t xml:space="preserve">B2B buyer side</t>
  </si>
  <si>
    <t xml:space="preserve">E. B2B creator side</t>
  </si>
  <si>
    <t xml:space="preserve">B2B TAM</t>
  </si>
  <si>
    <t xml:space="preserve">F. B2C pool (addressable only with pledges or membership)</t>
  </si>
  <si>
    <t xml:space="preserve">Two pools together</t>
  </si>
  <si>
    <t xml:space="preserve">SAM-now, B2B (V1 wedge)</t>
  </si>
  <si>
    <t xml:space="preserve">SAM-now, B2C (V1 wedge)</t>
  </si>
  <si>
    <t xml:space="preserve">SAM-now, total</t>
  </si>
  <si>
    <t xml:space="preserve">SAM fans: US + UK horror-leaning 18-34s (count)</t>
  </si>
  <si>
    <t xml:space="preserve">Reachable revenue at list prices (B2B wedge)</t>
  </si>
  <si>
    <t xml:space="preserve">SOM, top-down (year 5)</t>
  </si>
  <si>
    <t xml:space="preserve">SOM, bottom-up (year 5)</t>
  </si>
  <si>
    <t xml:space="preserve">SOM, reconciled midpoint (year 5)</t>
  </si>
  <si>
    <t xml:space="preserve">SAM (V1 wedge: English-language, US + UK, horror and genre first) and SOM (year 5), Low / Base / High</t>
  </si>
  <si>
    <t xml:space="preserve">SAM-NOW, B2B: current spend inside the wedge</t>
  </si>
  <si>
    <t xml:space="preserve">Substitutable research slice, US + UK genre</t>
  </si>
  <si>
    <t xml:space="preserve">TAM Build memo A2 x US+UK share x genre share</t>
  </si>
  <si>
    <t xml:space="preserve">Wedge organisations: data tools</t>
  </si>
  <si>
    <t xml:space="preserve">Reachable organisations x data-tool spend</t>
  </si>
  <si>
    <t xml:space="preserve">Wedge organisations: script evaluation</t>
  </si>
  <si>
    <t xml:space="preserve">Reachable organisations x evaluation spend</t>
  </si>
  <si>
    <t xml:space="preserve">Genre writers with a finished feature</t>
  </si>
  <si>
    <t xml:space="preserve">Paying writers x finished feature x horror/thriller x spend per writer</t>
  </si>
  <si>
    <t xml:space="preserve">Genre projects packaged by small companies</t>
  </si>
  <si>
    <t xml:space="preserve">Projects x packaging spend per project</t>
  </si>
  <si>
    <t xml:space="preserve">SAM-NOW, B2B</t>
  </si>
  <si>
    <t xml:space="preserve">LAYER DEFINITION: what wedge buyers and creators spend on the problem today.</t>
  </si>
  <si>
    <t xml:space="preserve">SAM-NOW, B2C: current spend inside the wedge</t>
  </si>
  <si>
    <t xml:space="preserve">SAM fans (count)</t>
  </si>
  <si>
    <t xml:space="preserve">US+UK 18-34s x horror affinity x reachable on short-form social. Low end cross-checks to ~18M unique US horror cinema-goers aged 18-34.</t>
  </si>
  <si>
    <t xml:space="preserve">SAM-NOW, B2C</t>
  </si>
  <si>
    <t xml:space="preserve">SAM fans x share who pay to take part x spend per payer. LAYER DEFINITION: what wedge fans would plausibly already pay; addressable only with pledges or membership.</t>
  </si>
  <si>
    <t xml:space="preserve">SAM-NOW, TWO POOLS TOGETHER</t>
  </si>
  <si>
    <t xml:space="preserve">Quote separately.</t>
  </si>
  <si>
    <t xml:space="preserve">SAM-now as a share of TAM (%)</t>
  </si>
  <si>
    <t xml:space="preserve">Sanity check: a one-genre, two-country wedge should be a single-digit to low-teens share.</t>
  </si>
  <si>
    <t xml:space="preserve">REACHABLE REVENUE: wedge organisations at planned list prices</t>
  </si>
  <si>
    <t xml:space="preserve">Certificates: organisations x concepts x price</t>
  </si>
  <si>
    <t xml:space="preserve">Market-access seats: one per organisation</t>
  </si>
  <si>
    <t xml:space="preserve">REACHABLE REVENUE (B2B wedge)</t>
  </si>
  <si>
    <t xml:space="preserve">LAYER DEFINITION: every reachable organisation buying at list price.</t>
  </si>
  <si>
    <t xml:space="preserve">Check: reachable revenue / buyer-side SAM-now (S1+S2+S3)</t>
  </si>
  <si>
    <t xml:space="preserve">At ~100% the plan needs most of what these buyers spend today, or it must grow the category. It is an expansion bet: say so. The $48K seat is ~2x the wedge data-tool budget.</t>
  </si>
  <si>
    <t xml:space="preserve">SOM: YEAR-5 REVENUE PLAN</t>
  </si>
  <si>
    <t xml:space="preserve">SOM, top-down: B2B SAM-now x capture rate</t>
  </si>
  <si>
    <t xml:space="preserve">Capture applies to the wedge product only.</t>
  </si>
  <si>
    <t xml:space="preserve">Bottom-up: certificates</t>
  </si>
  <si>
    <t xml:space="preserve">Bottom-up: market-access seats</t>
  </si>
  <si>
    <t xml:space="preserve">Bottom-up: enterprise data feeds</t>
  </si>
  <si>
    <t xml:space="preserve">Bottom-up: creator sell-kits</t>
  </si>
  <si>
    <t xml:space="preserve">Bottom-up: success fees</t>
  </si>
  <si>
    <t xml:space="preserve">Monthly active fans (count)</t>
  </si>
  <si>
    <t xml:space="preserve">SAM fans x registered x active</t>
  </si>
  <si>
    <t xml:space="preserve">Bottom-up: B2C under the current stance</t>
  </si>
  <si>
    <t xml:space="preserve">Pledge fee + owned-audience value only. B2C is the signal engine, not the revenue line.</t>
  </si>
  <si>
    <t xml:space="preserve">SOM, bottom-up: year-5 revenue build</t>
  </si>
  <si>
    <t xml:space="preserve">MEMO B2C if membership + sponsorship were adopted (not in SOM)</t>
  </si>
  <si>
    <t xml:space="preserve">OPTION NOT DECIDED. Rejected today because it degrades the signal the B2B product sells.</t>
  </si>
  <si>
    <t xml:space="preserve">Implied capture of B2B SAM-now (bottom-up B2B lines / SAM-now B2B)</t>
  </si>
  <si>
    <t xml:space="preserve">Reconciliation: bottom-up implies a capture above the top-down band. The difference is category expansion and must be earned in pilots.</t>
  </si>
  <si>
    <t xml:space="preserve">SOM reconciliation midpoint</t>
  </si>
  <si>
    <t xml:space="preserve">Average of the two independent builds</t>
  </si>
  <si>
    <t xml:space="preserve">Check: SOM midpoint / reachable revenue</t>
  </si>
  <si>
    <t xml:space="preserve">Should sit well inside 100%.</t>
  </si>
  <si>
    <t xml:space="preserve">SAM-Now Enumeration: the named-buyer list behind the V1 wedge</t>
  </si>
  <si>
    <t xml:space="preserve">Goal: convert B2B SAM-NOW from arithmetic into named organisations with estimated spend. Seed sources: AFM exhibitor list, Cinando, Cannes Marche genre programme (Fantastic Pavilion), Fantasia / Frontieres market, FrightFest, Blood List. Replace the EXAMPLE row.</t>
  </si>
  <si>
    <t xml:space="preserve">Organisations listed</t>
  </si>
  <si>
    <t xml:space="preserve">Total estimated decision-support spend</t>
  </si>
  <si>
    <t xml:space="preserve">Coverage of buyer-side SAM-NOW (base case)</t>
  </si>
  <si>
    <t xml:space="preserve">Counts include the EXAMPLE row until it is replaced.</t>
  </si>
  <si>
    <t xml:space="preserve">Organisation</t>
  </si>
  <si>
    <t xml:space="preserve">Type</t>
  </si>
  <si>
    <t xml:space="preserve">Evidence of genre activity</t>
  </si>
  <si>
    <t xml:space="preserve">Est. annual spend ($)</t>
  </si>
  <si>
    <t xml:space="preserve">Priority</t>
  </si>
  <si>
    <t xml:space="preserve">Owner</t>
  </si>
  <si>
    <t xml:space="preserve">Status</t>
  </si>
  <si>
    <t xml:space="preserve">EXAMPLE: Example Genre Pictures LLC</t>
  </si>
  <si>
    <t xml:space="preserve">Production company</t>
  </si>
  <si>
    <t xml:space="preserve">Three horror features released 2023-25; AFM 2025 exhibitor</t>
  </si>
  <si>
    <t xml:space="preserve">H</t>
  </si>
  <si>
    <t xml:space="preserve">Shiv</t>
  </si>
  <si>
    <t xml:space="preserve">Not started</t>
  </si>
  <si>
    <t xml:space="preserve">Revenue potential estimate by media market: the pools are ALLOCATED, not re-sized</t>
  </si>
  <si>
    <t xml:space="preserve">Totals are taken as given and only allocated. World: B2B = 75% estimated content-spend share + 25% share of feature films produced (WIPO/Omdia 2024); B2C = 2025 box office by territory (Gower Street + national bodies) scaled by an estimated fan-spend propensity. Wedge: US/UK split by 18-34 population (B2C) and film-count/content-spend blend (B2B); within the US, B2C = share of TV households (2024-25 universe estimates) x a Hispanic-driven horror index, B2B = judgemental hub shares anchored on WGA membership and buyer HQs; within the UK, B2C = cinema admissions by ITV region (CAA 2024), B2B = London-centric estimate anchored on BFI spend concentration. Shares are blue inputs; every dollar figure is share x the pool on TAM Build / SAM &amp; SOM. Allocation keys are mostly ESTIMATES: see notes. Media markets are plotted as points; no licensed boundary file or licensed measurement data is used.</t>
  </si>
  <si>
    <t xml:space="preserve">WORLD: B2B TAM and B2C pool by territory</t>
  </si>
  <si>
    <t xml:space="preserve">Market</t>
  </si>
  <si>
    <t xml:space="preserve">B2B share</t>
  </si>
  <si>
    <t xml:space="preserve">B2C share</t>
  </si>
  <si>
    <t xml:space="preserve">B2B $ Low</t>
  </si>
  <si>
    <t xml:space="preserve">B2B $ Base</t>
  </si>
  <si>
    <t xml:space="preserve">B2B $ High</t>
  </si>
  <si>
    <t xml:space="preserve">B2C $ Low</t>
  </si>
  <si>
    <t xml:space="preserve">B2C $ Base</t>
  </si>
  <si>
    <t xml:space="preserve">B2C $ High</t>
  </si>
  <si>
    <t xml:space="preserve">Basis / note</t>
  </si>
  <si>
    <t xml:space="preserve">United States + Canada</t>
  </si>
  <si>
    <t xml:space="preserve">Box office 2025: $8,870M (SOURCED). Films: US 544 (WIPO/Omdia 2024) + Canada ~90 ESTIMATE. Dot placed at Los Angeles (media capital).</t>
  </si>
  <si>
    <t xml:space="preserve">China</t>
  </si>
  <si>
    <t xml:space="preserve">Box office 2025: $7,400M (SOURCED). B2C heavily discounted: the fan-spend instruments in the B2C pool (guild votes, Kickstarter-style crowdfunding, Letterboxd-type tiers) are largely inaccessible in China.</t>
  </si>
  <si>
    <t xml:space="preserve">Japan</t>
  </si>
  <si>
    <t xml:space="preserve">Box office 2025: $1,790M (SOURCED). </t>
  </si>
  <si>
    <t xml:space="preserve">India</t>
  </si>
  <si>
    <t xml:space="preserve">Box office 2025: $1,540M (DERIVED). Largest film count on earth (2,605) lifts B2B share well above its content-spend share; dot at Mumbai.</t>
  </si>
  <si>
    <t xml:space="preserve">United Kingdom + Ireland</t>
  </si>
  <si>
    <t xml:space="preserve">Box office 2025: $1,316M (DERIVED). Films: BFI 193 features into production 2025. 85% of UK film+HETV spend is inward investment (mostly US-commissioned).</t>
  </si>
  <si>
    <t xml:space="preserve">France</t>
  </si>
  <si>
    <t xml:space="preserve">Box office 2025: $1,310M (DERIVED). </t>
  </si>
  <si>
    <t xml:space="preserve">Germany</t>
  </si>
  <si>
    <t xml:space="preserve">Box office 2025: $1,044M (DERIVED). Film count ESTIMATE (~250; not in WIPO top list retrieved).</t>
  </si>
  <si>
    <t xml:space="preserve">Mexico</t>
  </si>
  <si>
    <t xml:space="preserve">Box office 2025: $750M (DERIVED). </t>
  </si>
  <si>
    <t xml:space="preserve">South Korea</t>
  </si>
  <si>
    <t xml:space="preserve">Box office 2025: $737M (DERIVED). Film count ESTIMATE (~200 commercially released local features).</t>
  </si>
  <si>
    <t xml:space="preserve">Australia</t>
  </si>
  <si>
    <t xml:space="preserve">Box office 2025: $650M (ESTIMATE). </t>
  </si>
  <si>
    <t xml:space="preserve">Italy</t>
  </si>
  <si>
    <t xml:space="preserve">Box office 2025: $561M (DERIVED). </t>
  </si>
  <si>
    <t xml:space="preserve">Spain</t>
  </si>
  <si>
    <t xml:space="preserve">Box office 2025: $512M (DERIVED). Film count ESTIMATE (~300).</t>
  </si>
  <si>
    <t xml:space="preserve">Brazil</t>
  </si>
  <si>
    <t xml:space="preserve">Box office 2025: $414M (ESTIMATE). </t>
  </si>
  <si>
    <t xml:space="preserve">Indonesia</t>
  </si>
  <si>
    <t xml:space="preserve">Box office 2025: $320M (ESTIMATE). Thin data; included as the fastest-growing horror-led theatrical market in SE Asia.</t>
  </si>
  <si>
    <t xml:space="preserve">Saudi Arabia</t>
  </si>
  <si>
    <t xml:space="preserve">Box office 2025: $245M (SOURCED). </t>
  </si>
  <si>
    <t xml:space="preserve">Rest of world</t>
  </si>
  <si>
    <t xml:space="preserve">Box office 2025: $6,091M (DERIVED). Legend line only. Includes Russia/CIS, Netherlands, Turkiye (223 films), Argentina (235 films), Iran, Nigeria, Taiwan, Middle East ex-KSA etc.</t>
  </si>
  <si>
    <t xml:space="preserve">Check: shares sum to 100%</t>
  </si>
  <si>
    <t xml:space="preserve">FIRST WEDGE: SAM-now by US media market and UK region</t>
  </si>
  <si>
    <t xml:space="preserve">New York</t>
  </si>
  <si>
    <t xml:space="preserve">Household-share population proxy x horror index 1.0 (estimate). Second buyer/writer hub: WGA East 7,398 members, indie financiers, A24/Neon-type distributors, publishing IP. WGAE count includes news/digital members, so discounted vs raw 35% guild split.</t>
  </si>
  <si>
    <t xml:space="preserve">Los Angeles</t>
  </si>
  <si>
    <t xml:space="preserve">Household-share population proxy x horror index 1.2 (estimate). Buyer capital: studios, streamers' film groups, agencies, AFM, WGA West 13,713 members. ~45% Hispanic smaller markets&gt; top horror index among the big-3.</t>
  </si>
  <si>
    <t xml:space="preserve">Chicago</t>
  </si>
  <si>
    <t xml:space="preserve">Household-share population proxy x horror index 1.0 (estimate). </t>
  </si>
  <si>
    <t xml:space="preserve">Dallas-Ft. Worth</t>
  </si>
  <si>
    <t xml:space="preserve">Household-share population proxy x horror index 1.1 (estimate). </t>
  </si>
  <si>
    <t xml:space="preserve">Philadelphia</t>
  </si>
  <si>
    <t xml:space="preserve">Household-share population proxy x horror index 0.9 (estimate). </t>
  </si>
  <si>
    <t xml:space="preserve">Houston</t>
  </si>
  <si>
    <t xml:space="preserve">Atlanta</t>
  </si>
  <si>
    <t xml:space="preserve">Household-share population proxy x horror index 0.9 (estimate). Production hub (Georgia tax credit, Tyler Perry Studios, Trilith); fewer buyers than crew.</t>
  </si>
  <si>
    <t xml:space="preserve">Washington, DC</t>
  </si>
  <si>
    <t xml:space="preserve">Boston</t>
  </si>
  <si>
    <t xml:space="preserve">San Francisco-Oakland-San Jose</t>
  </si>
  <si>
    <t xml:space="preserve">Household-share population proxy x horror index 1.0 (estimate). Streamer/tech HQs (Netflix Los Gatos, Apple, YouTube) lift B2B above population share.</t>
  </si>
  <si>
    <t xml:space="preserve">Tampa-St. Petersburg</t>
  </si>
  <si>
    <t xml:space="preserve">Phoenix</t>
  </si>
  <si>
    <t xml:space="preserve">Seattle-Tacoma</t>
  </si>
  <si>
    <t xml:space="preserve">Household-share population proxy x horror index 0.9 (estimate). Amazon HQ.</t>
  </si>
  <si>
    <t xml:space="preserve">Detroit</t>
  </si>
  <si>
    <t xml:space="preserve">Orlando-Daytona Beach</t>
  </si>
  <si>
    <t xml:space="preserve">Minneapolis-St. Paul</t>
  </si>
  <si>
    <t xml:space="preserve">Denver</t>
  </si>
  <si>
    <t xml:space="preserve">Miami-Ft. Lauderdale</t>
  </si>
  <si>
    <t xml:space="preserve">Household-share population proxy x horror index 1.2 (estimate). Highest horror index in the top 25 (~50% Hispanic); Spanish-language media HQs (TelevisaUnivision, Telemundo).</t>
  </si>
  <si>
    <t xml:space="preserve">Cleveland-Akron</t>
  </si>
  <si>
    <t xml:space="preserve">Sacramento-Stockton-Modesto</t>
  </si>
  <si>
    <t xml:space="preserve">Charlotte</t>
  </si>
  <si>
    <t xml:space="preserve">Raleigh-Durham</t>
  </si>
  <si>
    <t xml:space="preserve">Portland, OR</t>
  </si>
  <si>
    <t xml:space="preserve">St. Louis</t>
  </si>
  <si>
    <t xml:space="preserve">Indianapolis</t>
  </si>
  <si>
    <t xml:space="preserve">Rest of United States (DMAs 26-210)</t>
  </si>
  <si>
    <t xml:space="preserve">Household-share population proxy x horror index 1.0 (estimate). Legend line only. Includes B2B-relevant smaller hubs: Austin (smaller markets~#35; SXSW/Fantastic Fest genre scene, est. ~2% of US B2B), Nashville, New Orleans, Albuquerque, Salt Lake City (Sundance t</t>
  </si>
  <si>
    <t xml:space="preserve">London</t>
  </si>
  <si>
    <t xml:space="preserve">Household-share population proxy x horror index 1.0 (estimate). ITV London region = 22.8% of UK cinema admissions (CAA 2024) vs ~13-18% of population. B2B: commissioners, financiers, sales agents, agencies, BFI/Film4/BBC Film all London-based.</t>
  </si>
  <si>
    <t xml:space="preserve">South &amp; South East (Meridian + Anglia)</t>
  </si>
  <si>
    <t xml:space="preserve">Household-share population proxy x horror index 1.0 (estimate). Studio belt (Pinewood, Shepperton, Leavesden sit on London's edge) - production spend rather than buyers.</t>
  </si>
  <si>
    <t xml:space="preserve">Midlands (Central)</t>
  </si>
  <si>
    <t xml:space="preserve">North West (Granada + Border)</t>
  </si>
  <si>
    <t xml:space="preserve">Household-share population proxy x horror index 1.0 (estimate). MediaCityUK Salford (BBC, ITV).</t>
  </si>
  <si>
    <t xml:space="preserve">Yorkshire &amp; North East (Yorkshire + Tyne Tees)</t>
  </si>
  <si>
    <t xml:space="preserve">Household-share population proxy x horror index 1.0 (estimate). Channel 4 HQ Leeds.</t>
  </si>
  <si>
    <t xml:space="preserve">Scotland (Central + North)</t>
  </si>
  <si>
    <t xml:space="preserve">Wales &amp; West (Wales + West + Westcountry)</t>
  </si>
  <si>
    <t xml:space="preserve">Household-share population proxy x horror index 1.0 (estimate). Cardiff/Bristol drama and natural-history clusters.</t>
  </si>
  <si>
    <t xml:space="preserve">Northern Ireland</t>
  </si>
  <si>
    <t xml:space="preserve">SOURCES</t>
  </si>
  <si>
    <t xml:space="preserve">Gower Street Analytics - Highest grossing December since 2019 adds $3.5bn for $33.6bn global total in 2025 (2026) https://gower.st/articles/highest-grossing-december-since-2019-3-5-billion-33-6-billion-global-total-2025/</t>
  </si>
  <si>
    <t xml:space="preserve">Variety - 'Demon Slayer' powers Japan's box office to $1.79 billion in 2025 (Eiren) (2026) https://variety.com/2026/film/box-office/demon-slayer-japan-box-office-2025-1236644196/</t>
  </si>
  <si>
    <t xml:space="preserve">Ormax Box Office Report 2025 (India gross INR 13,395 cr) (2026) https://www.ormaxmedia.com/stories/the-ormax-box-office-report-2025.html</t>
  </si>
  <si>
    <t xml:space="preserve">BFI official statistics 2025: GBP 6.8bn film+HETV spend; 193 films; UK/IE box office GBP 996.8M (2026) https://www.bfi.org.uk/news/official-bfi-statistics-2025</t>
  </si>
  <si>
    <t xml:space="preserve">Boxoffice Pro FR - CNC 2025 bilan: 156.2M admissions, avg ticket EUR 7.42 (2026) https://www.boxofficepro.fr/cannes-2026-le-cnc-dresse-la-fiche-didentite-du-cinema-en-2025/</t>
  </si>
  <si>
    <t xml:space="preserve">UNIC - European cinemas see stable box office of EUR 6.9bn in 2025 (DE 924M, IT 496.6M, ES 453M) (2026) https://www.unic-cinemas.org/en/resources/news/news-blog/detail/european-cinemas-see-stable-box-office-of-eur69-billion-in-2025/</t>
  </si>
  <si>
    <t xml:space="preserve">KOFIC - Korean box office 2025: KRW 1.047tn, 106.09M admissions (2026) https://www.koreanfilm.or.kr/eng/news/kofic_news.jsp?blbdComCd=601007&amp;seq=1840&amp;mode=VIEW</t>
  </si>
  <si>
    <t xml:space="preserve">Zocalo/Agencia Reforma citing Canacine - Mexico 2025 box office MXN 13,633M (to 7 Dec) (2025) https://www.zocalo.com.mx/cayo-4-recaudacion-de-cine-en-2025-en-mexico/</t>
  </si>
  <si>
    <t xml:space="preserve">Screen Daily - Australian box office set to pass A$1bn in 2025 (CAA forecast) (2025) https://www.screendaily.com/news/australian-box-office-set-to-pass-a1bn-in-2025-for-the-first-time-since-2019/5209959.article</t>
  </si>
  <si>
    <t xml:space="preserve">Jornal de Brasilia citing Filme B - Brazil 2025: 115.7M admissions (2026) https://jornaldebrasilia.com.br/viva/cinema/bilheteria-de-filmes-no-brasil-tem-queda-10-no-publico-em-2025-em-relacao-a-2024/</t>
  </si>
  <si>
    <t xml:space="preserve">Argaam - Saudi box office 2025: SAR 921M, 18.8M tickets (Film Commission) (2026) https://www.argaam.com/en/article/articledetail/id/1895292</t>
  </si>
  <si>
    <t xml:space="preserve">WIPO Global Innovation Index blog - Global film production hits a record: 9,628 features in 2024 (WIPO/Omdia) (2026) https://www.wipo.int/en/web/global-innovation-index/w/blogs/2026/lights-camera-records-global-film-production</t>
  </si>
  <si>
    <t xml:space="preserve">IBC citing Ampere Analysis - global content spend $248bn in 2025 (no public country split; country shares here are ESTIMATES) (2025) https://www.ibc.org/production/news/global-content-spend-set-for-meagre-growth-in-2025-report/21640</t>
  </si>
  <si>
    <t xml:space="preserve">Media Play News citing Ampere - six US media companies account for &gt;50% of global content spend (headline only; page not fetchable) (2024) https://www.mediaplaynews.com/ampere-six-us-media-companies-make-more-than-50-percent-of-all-global-content/</t>
  </si>
  <si>
    <t xml:space="preserve">National Media Spots - DMA ranks, 2024-2025 Local Television Market Universe Estimates (secondary republication of Nielsen ranks) (2024) https://nationalmediaspots.com/DMA-Ranks.pdf</t>
  </si>
  <si>
    <t xml:space="preserve">MPA THEME Report 2021 - Hispanic/Latino 23% of tickets vs 19% of population; per-capita 1.7 (2022) https://www.motionpictures.org/wp-content/uploads/2022/03/MPA-2021-THEME-Report-FINAL.pdf</t>
  </si>
  <si>
    <t xml:space="preserve">Looper - The Conjuring: Last Rites opening audience 38% Hispanic, 69% of previews aged 18-34 (2025) https://www.looper.com/1963660/why-the-conjuring-last-rites-blew-everyone-away-box-office/</t>
  </si>
  <si>
    <t xml:space="preserve">NPR Code Switch - Why Latinos heart horror films (Latinos ~22% of typical weekend, up to half for horror) (2015) https://www.npr.org/sections/codeswitch/2015/10/31/452298992/why-latinos-heart-horror-films</t>
  </si>
  <si>
    <t xml:space="preserve">Wikipedia - Writers Guild of America West (10,338 full + 3,375 other members, 2026) (2026) https://en.wikipedia.org/wiki/Writers_Guild_of_America_West</t>
  </si>
  <si>
    <t xml:space="preserve">Wikipedia - Writers Guild of America East (7,398 members, 2026) (2026) https://en.wikipedia.org/wiki/Writers_Guild_of_America_East</t>
  </si>
  <si>
    <t xml:space="preserve">UK Cinema Association / Cinema Advertising Association - admissions by ITV region 2024 (2024) https://www.cinemauk.org.uk/the-industry/facts-and-figures/uk-cinema-admissions-and-box-office/admissions-by-region/</t>
  </si>
  <si>
    <t xml:space="preserve">UK Parliament CMS Committee - British film and high-end television (only 19% of film spend outside London/South East, 2017-19, BFI) (2025) https://publications.parliament.uk/pa/cm5901/cmselect/cmcumeds/328/report.html</t>
  </si>
  <si>
    <t xml:space="preserve">US Census Bureau (2020 Census / ACS) - Hispanic share by metro area; DMA values here are rounded ESTIMATES from MSA-level figures, not DMA-level data (2020) https://data.census.gov/</t>
  </si>
  <si>
    <t xml:space="preserve">One-way sensitivity: TAM with a single driver moved Low/High, all else Base</t>
  </si>
  <si>
    <t xml:space="preserve">Driver</t>
  </si>
  <si>
    <t xml:space="preserve">TAM at driver Low</t>
  </si>
  <si>
    <t xml:space="preserve">TAM at driver High</t>
  </si>
  <si>
    <t xml:space="preserve">Swing (High - Low)</t>
  </si>
  <si>
    <t xml:space="preserve">Swing as % of base TAM</t>
  </si>
  <si>
    <t xml:space="preserve">Paying guild members (vote on releases)</t>
  </si>
  <si>
    <t xml:space="preserve">Tier 1 analytics spend per buyer</t>
  </si>
  <si>
    <t xml:space="preserve">Other research vendors multiplier</t>
  </si>
  <si>
    <t xml:space="preserve">Packaging spend per project</t>
  </si>
  <si>
    <t xml:space="preserve">Tier 1 buyer count</t>
  </si>
  <si>
    <t xml:space="preserve">Tier 2 contract value</t>
  </si>
  <si>
    <t xml:space="preserve">Film/TV share of largest vendor revenue</t>
  </si>
  <si>
    <t xml:space="preserve">Tier 2 buyer count</t>
  </si>
  <si>
    <t xml:space="preserve">Features actively packaged</t>
  </si>
  <si>
    <t xml:space="preserve">Companies with a development function</t>
  </si>
  <si>
    <t xml:space="preserve">Film crowdfunding pledges, largest platform</t>
  </si>
  <si>
    <t xml:space="preserve">Paid contest entries</t>
  </si>
  <si>
    <t xml:space="preserve">One-way sensitivity: SAM-now (two pools) with a single driver moved Low/High, all else Base</t>
  </si>
  <si>
    <t xml:space="preserve">SAM at driver Low</t>
  </si>
  <si>
    <t xml:space="preserve">SAM at driver High</t>
  </si>
  <si>
    <t xml:space="preserve">Swing as % of base SAM</t>
  </si>
  <si>
    <t xml:space="preserve">Share of SAM fans who pay to take part</t>
  </si>
  <si>
    <t xml:space="preserve">Spend per paying fan</t>
  </si>
  <si>
    <t xml:space="preserve">Horror affinity among 18-34s</t>
  </si>
  <si>
    <t xml:space="preserve">Data-tool spend per wedge organisation</t>
  </si>
  <si>
    <t xml:space="preserve">Reachable buyer organisations</t>
  </si>
  <si>
    <t xml:space="preserve">Writers: horror or thriller share</t>
  </si>
  <si>
    <t xml:space="preserve">Rows are ranked by swing at the input values this file shipped with. The top rows are where a week of validation moves the answer most.</t>
  </si>
</sst>
</file>

<file path=xl/styles.xml><?xml version="1.0" encoding="utf-8"?>
<styleSheet xmlns="http://schemas.openxmlformats.org/spreadsheetml/2006/main">
  <numFmts count="8">
    <numFmt numFmtId="164" formatCode="General"/>
    <numFmt numFmtId="165" formatCode="\$#,##0;&quot;($&quot;#,##0\);\-"/>
    <numFmt numFmtId="166" formatCode="0.0%;\(0.0%\);\-"/>
    <numFmt numFmtId="167" formatCode="0.00\x"/>
    <numFmt numFmtId="168" formatCode="#,##0;\(#,##0\);\-"/>
    <numFmt numFmtId="169" formatCode="\$#,##0.00"/>
    <numFmt numFmtId="170" formatCode="0.00%"/>
    <numFmt numFmtId="171" formatCode="0.0%"/>
  </numFmts>
  <fonts count="13">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666666"/>
      <name val="Arial"/>
      <family val="0"/>
      <charset val="1"/>
    </font>
    <font>
      <sz val="11"/>
      <color theme="1"/>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i val="true"/>
      <sz val="10"/>
      <name val="Arial"/>
      <family val="0"/>
      <charset val="1"/>
    </font>
  </fonts>
  <fills count="7">
    <fill>
      <patternFill patternType="none"/>
    </fill>
    <fill>
      <patternFill patternType="gray125"/>
    </fill>
    <fill>
      <patternFill patternType="solid">
        <fgColor rgb="FF1F2A44"/>
        <bgColor rgb="FF003366"/>
      </patternFill>
    </fill>
    <fill>
      <patternFill patternType="solid">
        <fgColor rgb="FFDDE6F3"/>
        <bgColor rgb="FFEEF2F7"/>
      </patternFill>
    </fill>
    <fill>
      <patternFill patternType="solid">
        <fgColor rgb="FFFFFF00"/>
        <bgColor rgb="FFFFFF00"/>
      </patternFill>
    </fill>
    <fill>
      <patternFill patternType="solid">
        <fgColor rgb="FFEEF2F7"/>
        <bgColor rgb="FFDDE6F3"/>
      </patternFill>
    </fill>
    <fill>
      <patternFill patternType="solid">
        <fgColor rgb="FFC9D7EC"/>
        <bgColor rgb="FFDDE6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4"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5" fontId="7"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1" fontId="7" fillId="5"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2F7"/>
      <rgbColor rgb="FFDDE6F3"/>
      <rgbColor rgb="FF660066"/>
      <rgbColor rgb="FFFF8080"/>
      <rgbColor rgb="FF0066CC"/>
      <rgbColor rgb="FFC9D7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79.85" hidden="false" customHeight="false" outlineLevel="0" collapsed="false">
      <c r="A5" s="5" t="s">
        <v>3</v>
      </c>
    </row>
    <row r="6" customFormat="false" ht="15" hidden="false" customHeight="false" outlineLevel="0" collapsed="false">
      <c r="A6" s="3"/>
    </row>
    <row r="7" customFormat="false" ht="15" hidden="false" customHeight="false" outlineLevel="0" collapsed="false">
      <c r="A7" s="4" t="s">
        <v>4</v>
      </c>
    </row>
    <row r="8" customFormat="false" ht="57.45" hidden="false" customHeight="false" outlineLevel="0" collapsed="false">
      <c r="A8" s="5" t="s">
        <v>5</v>
      </c>
    </row>
    <row r="9" customFormat="false" ht="15" hidden="false" customHeight="false" outlineLevel="0" collapsed="false">
      <c r="A9" s="3"/>
    </row>
    <row r="10" customFormat="false" ht="15" hidden="false" customHeight="false" outlineLevel="0" collapsed="false">
      <c r="A10" s="4" t="s">
        <v>6</v>
      </c>
    </row>
    <row r="11" customFormat="false" ht="35.05" hidden="false" customHeight="false" outlineLevel="0" collapsed="false">
      <c r="A11" s="5" t="s">
        <v>7</v>
      </c>
    </row>
    <row r="12" customFormat="false" ht="15" hidden="false" customHeight="false" outlineLevel="0" collapsed="false">
      <c r="A12" s="3"/>
    </row>
    <row r="13" customFormat="false" ht="15" hidden="false" customHeight="false" outlineLevel="0" collapsed="false">
      <c r="A13" s="4" t="s">
        <v>8</v>
      </c>
    </row>
    <row r="14" customFormat="false" ht="57.45" hidden="false" customHeight="false" outlineLevel="0" collapsed="false">
      <c r="A14" s="5" t="s">
        <v>9</v>
      </c>
    </row>
    <row r="15" customFormat="false" ht="15" hidden="false" customHeight="false" outlineLevel="0" collapsed="false">
      <c r="A15" s="3"/>
    </row>
    <row r="16" customFormat="false" ht="15" hidden="false" customHeight="false" outlineLevel="0" collapsed="false">
      <c r="A16" s="4" t="s">
        <v>10</v>
      </c>
    </row>
    <row r="17" customFormat="false" ht="57.45" hidden="false" customHeight="false" outlineLevel="0" collapsed="false">
      <c r="A17" s="5" t="s">
        <v>11</v>
      </c>
    </row>
    <row r="18" customFormat="false" ht="15" hidden="false" customHeight="false" outlineLevel="0" collapsed="false">
      <c r="A18" s="3"/>
    </row>
    <row r="19" customFormat="false" ht="15" hidden="false" customHeight="false" outlineLevel="0" collapsed="false">
      <c r="A19" s="4" t="s">
        <v>12</v>
      </c>
    </row>
    <row r="20" customFormat="false" ht="68.65" hidden="false" customHeight="false" outlineLevel="0" collapsed="false">
      <c r="A20"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4" min="2" style="0" width="16"/>
    <col collapsed="false" customWidth="true" hidden="false" outlineLevel="0" max="5" min="5" style="0" width="110"/>
  </cols>
  <sheetData>
    <row r="1" customFormat="false" ht="16.15" hidden="false" customHeight="false" outlineLevel="0" collapsed="false">
      <c r="A1" s="6" t="s">
        <v>14</v>
      </c>
      <c r="B1" s="7"/>
      <c r="C1" s="7"/>
      <c r="D1" s="7"/>
      <c r="E1" s="7"/>
    </row>
    <row r="2" customFormat="false" ht="15" hidden="false" customHeight="false" outlineLevel="0" collapsed="false">
      <c r="A2" s="7"/>
      <c r="B2" s="7"/>
      <c r="C2" s="7"/>
      <c r="D2" s="7"/>
      <c r="E2" s="7"/>
    </row>
    <row r="3" customFormat="false" ht="15" hidden="false" customHeight="false" outlineLevel="0" collapsed="false">
      <c r="A3" s="8" t="s">
        <v>15</v>
      </c>
      <c r="B3" s="8" t="s">
        <v>16</v>
      </c>
      <c r="C3" s="8" t="s">
        <v>17</v>
      </c>
      <c r="D3" s="8" t="s">
        <v>18</v>
      </c>
      <c r="E3" s="8" t="s">
        <v>19</v>
      </c>
    </row>
    <row r="4" customFormat="false" ht="15" hidden="false" customHeight="false" outlineLevel="0" collapsed="false">
      <c r="A4" s="9" t="s">
        <v>20</v>
      </c>
      <c r="B4" s="10"/>
      <c r="C4" s="10"/>
      <c r="D4" s="10"/>
      <c r="E4" s="10"/>
    </row>
    <row r="5" customFormat="false" ht="22.35" hidden="false" customHeight="false" outlineLevel="0" collapsed="false">
      <c r="A5" s="5" t="s">
        <v>21</v>
      </c>
      <c r="B5" s="11" t="n">
        <v>94000000</v>
      </c>
      <c r="C5" s="11" t="n">
        <v>94000000</v>
      </c>
      <c r="D5" s="11" t="n">
        <v>94000000</v>
      </c>
      <c r="E5" s="2" t="s">
        <v>22</v>
      </c>
    </row>
    <row r="6" customFormat="false" ht="15" hidden="false" customHeight="false" outlineLevel="0" collapsed="false">
      <c r="A6" s="5" t="s">
        <v>23</v>
      </c>
      <c r="B6" s="12" t="n">
        <v>0.5</v>
      </c>
      <c r="C6" s="12" t="n">
        <v>0.65</v>
      </c>
      <c r="D6" s="12" t="n">
        <v>1</v>
      </c>
      <c r="E6" s="2" t="s">
        <v>24</v>
      </c>
    </row>
    <row r="7" customFormat="false" ht="15" hidden="false" customHeight="false" outlineLevel="0" collapsed="false">
      <c r="A7" s="5" t="s">
        <v>25</v>
      </c>
      <c r="B7" s="13" t="n">
        <v>43700000</v>
      </c>
      <c r="C7" s="13" t="n">
        <v>43700000</v>
      </c>
      <c r="D7" s="13" t="n">
        <v>43700000</v>
      </c>
      <c r="E7" s="2" t="s">
        <v>26</v>
      </c>
    </row>
    <row r="8" customFormat="false" ht="15" hidden="false" customHeight="false" outlineLevel="0" collapsed="false">
      <c r="A8" s="5" t="s">
        <v>23</v>
      </c>
      <c r="B8" s="14" t="n">
        <v>0.8</v>
      </c>
      <c r="C8" s="14" t="n">
        <v>0.9</v>
      </c>
      <c r="D8" s="14" t="n">
        <v>1</v>
      </c>
      <c r="E8" s="2" t="s">
        <v>27</v>
      </c>
    </row>
    <row r="9" customFormat="false" ht="22.35" hidden="false" customHeight="false" outlineLevel="0" collapsed="false">
      <c r="A9" s="5" t="s">
        <v>28</v>
      </c>
      <c r="B9" s="15" t="n">
        <v>1</v>
      </c>
      <c r="C9" s="15" t="n">
        <v>1.5</v>
      </c>
      <c r="D9" s="15" t="n">
        <v>2</v>
      </c>
      <c r="E9" s="2" t="s">
        <v>29</v>
      </c>
    </row>
    <row r="10" customFormat="false" ht="15" hidden="false" customHeight="false" outlineLevel="0" collapsed="false">
      <c r="A10" s="5" t="s">
        <v>30</v>
      </c>
      <c r="B10" s="16" t="n">
        <v>95</v>
      </c>
      <c r="C10" s="16" t="n">
        <v>105</v>
      </c>
      <c r="D10" s="16" t="n">
        <v>115</v>
      </c>
      <c r="E10" s="2" t="s">
        <v>31</v>
      </c>
    </row>
    <row r="11" customFormat="false" ht="15" hidden="false" customHeight="false" outlineLevel="0" collapsed="false">
      <c r="A11" s="5" t="s">
        <v>32</v>
      </c>
      <c r="B11" s="14" t="n">
        <v>0.75</v>
      </c>
      <c r="C11" s="14" t="n">
        <v>0.85</v>
      </c>
      <c r="D11" s="14" t="n">
        <v>0.9</v>
      </c>
      <c r="E11" s="2" t="s">
        <v>33</v>
      </c>
    </row>
    <row r="12" customFormat="false" ht="15" hidden="false" customHeight="false" outlineLevel="0" collapsed="false">
      <c r="A12" s="5" t="s">
        <v>34</v>
      </c>
      <c r="B12" s="16" t="n">
        <v>2</v>
      </c>
      <c r="C12" s="16" t="n">
        <v>3</v>
      </c>
      <c r="D12" s="16" t="n">
        <v>4</v>
      </c>
      <c r="E12" s="2" t="s">
        <v>35</v>
      </c>
    </row>
    <row r="13" customFormat="false" ht="22.35" hidden="false" customHeight="false" outlineLevel="0" collapsed="false">
      <c r="A13" s="5" t="s">
        <v>36</v>
      </c>
      <c r="B13" s="11" t="n">
        <v>10000</v>
      </c>
      <c r="C13" s="11" t="n">
        <v>15000</v>
      </c>
      <c r="D13" s="11" t="n">
        <v>25000</v>
      </c>
      <c r="E13" s="2" t="s">
        <v>37</v>
      </c>
    </row>
    <row r="14" customFormat="false" ht="22.35" hidden="false" customHeight="false" outlineLevel="0" collapsed="false">
      <c r="A14" s="5" t="s">
        <v>38</v>
      </c>
      <c r="B14" s="13" t="n">
        <v>1710000</v>
      </c>
      <c r="C14" s="13" t="n">
        <v>9200000</v>
      </c>
      <c r="D14" s="13" t="n">
        <v>33000000</v>
      </c>
      <c r="E14" s="2" t="s">
        <v>39</v>
      </c>
    </row>
    <row r="15" customFormat="false" ht="15" hidden="false" customHeight="false" outlineLevel="0" collapsed="false">
      <c r="A15" s="5" t="s">
        <v>40</v>
      </c>
      <c r="B15" s="17" t="n">
        <v>1.15</v>
      </c>
      <c r="C15" s="17" t="n">
        <v>1.3</v>
      </c>
      <c r="D15" s="17" t="n">
        <v>1.5</v>
      </c>
      <c r="E15" s="2" t="s">
        <v>41</v>
      </c>
    </row>
    <row r="16" customFormat="false" ht="15" hidden="false" customHeight="false" outlineLevel="0" collapsed="false">
      <c r="A16" s="5" t="s">
        <v>42</v>
      </c>
      <c r="B16" s="12" t="n">
        <v>0.05</v>
      </c>
      <c r="C16" s="12" t="n">
        <v>0.1</v>
      </c>
      <c r="D16" s="12" t="n">
        <v>0.15</v>
      </c>
      <c r="E16" s="2" t="s">
        <v>43</v>
      </c>
    </row>
    <row r="17" customFormat="false" ht="15" hidden="false" customHeight="false" outlineLevel="0" collapsed="false">
      <c r="A17" s="9" t="s">
        <v>44</v>
      </c>
      <c r="B17" s="10"/>
      <c r="C17" s="10"/>
      <c r="D17" s="10"/>
      <c r="E17" s="10"/>
    </row>
    <row r="18" customFormat="false" ht="15" hidden="false" customHeight="false" outlineLevel="0" collapsed="false">
      <c r="A18" s="5" t="s">
        <v>45</v>
      </c>
      <c r="B18" s="18" t="n">
        <v>25</v>
      </c>
      <c r="C18" s="18" t="n">
        <v>40</v>
      </c>
      <c r="D18" s="18" t="n">
        <v>60</v>
      </c>
      <c r="E18" s="2" t="s">
        <v>27</v>
      </c>
    </row>
    <row r="19" customFormat="false" ht="22.35" hidden="false" customHeight="false" outlineLevel="0" collapsed="false">
      <c r="A19" s="5" t="s">
        <v>46</v>
      </c>
      <c r="B19" s="11" t="n">
        <v>1000000</v>
      </c>
      <c r="C19" s="11" t="n">
        <v>2500000</v>
      </c>
      <c r="D19" s="11" t="n">
        <v>5000000</v>
      </c>
      <c r="E19" s="2" t="s">
        <v>47</v>
      </c>
    </row>
    <row r="20" customFormat="false" ht="23.85" hidden="false" customHeight="false" outlineLevel="0" collapsed="false">
      <c r="A20" s="5" t="s">
        <v>48</v>
      </c>
      <c r="B20" s="16" t="n">
        <v>150</v>
      </c>
      <c r="C20" s="16" t="n">
        <v>300</v>
      </c>
      <c r="D20" s="16" t="n">
        <v>500</v>
      </c>
      <c r="E20" s="2" t="s">
        <v>27</v>
      </c>
    </row>
    <row r="21" customFormat="false" ht="15" hidden="false" customHeight="false" outlineLevel="0" collapsed="false">
      <c r="A21" s="5" t="s">
        <v>49</v>
      </c>
      <c r="B21" s="13" t="n">
        <v>100000</v>
      </c>
      <c r="C21" s="13" t="n">
        <v>200000</v>
      </c>
      <c r="D21" s="13" t="n">
        <v>350000</v>
      </c>
      <c r="E21" s="2" t="s">
        <v>50</v>
      </c>
    </row>
    <row r="22" customFormat="false" ht="22.35" hidden="false" customHeight="false" outlineLevel="0" collapsed="false">
      <c r="A22" s="5" t="s">
        <v>51</v>
      </c>
      <c r="B22" s="16" t="n">
        <v>1000</v>
      </c>
      <c r="C22" s="16" t="n">
        <v>2000</v>
      </c>
      <c r="D22" s="16" t="n">
        <v>4000</v>
      </c>
      <c r="E22" s="2" t="s">
        <v>52</v>
      </c>
    </row>
    <row r="23" customFormat="false" ht="15" hidden="false" customHeight="false" outlineLevel="0" collapsed="false">
      <c r="A23" s="5" t="s">
        <v>53</v>
      </c>
      <c r="B23" s="13" t="n">
        <v>3000</v>
      </c>
      <c r="C23" s="13" t="n">
        <v>8000</v>
      </c>
      <c r="D23" s="13" t="n">
        <v>15000</v>
      </c>
      <c r="E23" s="2" t="s">
        <v>54</v>
      </c>
    </row>
    <row r="24" customFormat="false" ht="15" hidden="false" customHeight="false" outlineLevel="0" collapsed="false">
      <c r="A24" s="9" t="s">
        <v>55</v>
      </c>
      <c r="B24" s="10"/>
      <c r="C24" s="10"/>
      <c r="D24" s="10"/>
      <c r="E24" s="10"/>
    </row>
    <row r="25" customFormat="false" ht="15" hidden="false" customHeight="false" outlineLevel="0" collapsed="false">
      <c r="A25" s="5" t="s">
        <v>56</v>
      </c>
      <c r="B25" s="18" t="n">
        <v>800</v>
      </c>
      <c r="C25" s="18" t="n">
        <v>1500</v>
      </c>
      <c r="D25" s="18" t="n">
        <v>3000</v>
      </c>
      <c r="E25" s="2" t="s">
        <v>57</v>
      </c>
    </row>
    <row r="26" customFormat="false" ht="15" hidden="false" customHeight="false" outlineLevel="0" collapsed="false">
      <c r="A26" s="5" t="s">
        <v>58</v>
      </c>
      <c r="B26" s="13" t="n">
        <v>10000</v>
      </c>
      <c r="C26" s="13" t="n">
        <v>25000</v>
      </c>
      <c r="D26" s="13" t="n">
        <v>50000</v>
      </c>
      <c r="E26" s="2" t="s">
        <v>27</v>
      </c>
    </row>
    <row r="27" customFormat="false" ht="15" hidden="false" customHeight="false" outlineLevel="0" collapsed="false">
      <c r="A27" s="5" t="s">
        <v>59</v>
      </c>
      <c r="B27" s="16" t="n">
        <v>40</v>
      </c>
      <c r="C27" s="16" t="n">
        <v>40</v>
      </c>
      <c r="D27" s="16" t="n">
        <v>40</v>
      </c>
      <c r="E27" s="2" t="s">
        <v>60</v>
      </c>
    </row>
    <row r="28" customFormat="false" ht="15" hidden="false" customHeight="false" outlineLevel="0" collapsed="false">
      <c r="A28" s="5" t="s">
        <v>61</v>
      </c>
      <c r="B28" s="13" t="n">
        <v>500000</v>
      </c>
      <c r="C28" s="13" t="n">
        <v>1000000</v>
      </c>
      <c r="D28" s="13" t="n">
        <v>2000000</v>
      </c>
      <c r="E28" s="2" t="s">
        <v>27</v>
      </c>
    </row>
    <row r="29" customFormat="false" ht="15" hidden="false" customHeight="false" outlineLevel="0" collapsed="false">
      <c r="A29" s="9" t="s">
        <v>62</v>
      </c>
      <c r="B29" s="10"/>
      <c r="C29" s="10"/>
      <c r="D29" s="10"/>
      <c r="E29" s="10"/>
    </row>
    <row r="30" customFormat="false" ht="22.35" hidden="false" customHeight="false" outlineLevel="0" collapsed="false">
      <c r="A30" s="5" t="s">
        <v>63</v>
      </c>
      <c r="B30" s="16" t="n">
        <v>40</v>
      </c>
      <c r="C30" s="16" t="n">
        <v>70</v>
      </c>
      <c r="D30" s="16" t="n">
        <v>120</v>
      </c>
      <c r="E30" s="2" t="s">
        <v>64</v>
      </c>
    </row>
    <row r="31" customFormat="false" ht="15" hidden="false" customHeight="false" outlineLevel="0" collapsed="false">
      <c r="A31" s="5" t="s">
        <v>65</v>
      </c>
      <c r="B31" s="13" t="n">
        <v>150000</v>
      </c>
      <c r="C31" s="13" t="n">
        <v>300000</v>
      </c>
      <c r="D31" s="13" t="n">
        <v>500000</v>
      </c>
      <c r="E31" s="2" t="s">
        <v>66</v>
      </c>
    </row>
    <row r="32" customFormat="false" ht="15" hidden="false" customHeight="false" outlineLevel="0" collapsed="false">
      <c r="A32" s="5" t="s">
        <v>67</v>
      </c>
      <c r="B32" s="16" t="n">
        <v>120</v>
      </c>
      <c r="C32" s="16" t="n">
        <v>240</v>
      </c>
      <c r="D32" s="16" t="n">
        <v>480</v>
      </c>
      <c r="E32" s="2" t="s">
        <v>68</v>
      </c>
    </row>
    <row r="33" customFormat="false" ht="15" hidden="false" customHeight="false" outlineLevel="0" collapsed="false">
      <c r="A33" s="5" t="s">
        <v>69</v>
      </c>
      <c r="B33" s="13" t="n">
        <v>20000</v>
      </c>
      <c r="C33" s="13" t="n">
        <v>40000</v>
      </c>
      <c r="D33" s="13" t="n">
        <v>75000</v>
      </c>
      <c r="E33" s="2" t="s">
        <v>70</v>
      </c>
    </row>
    <row r="34" customFormat="false" ht="15" hidden="false" customHeight="false" outlineLevel="0" collapsed="false">
      <c r="A34" s="5" t="s">
        <v>71</v>
      </c>
      <c r="B34" s="16" t="n">
        <v>360</v>
      </c>
      <c r="C34" s="16" t="n">
        <v>960</v>
      </c>
      <c r="D34" s="16" t="n">
        <v>2400</v>
      </c>
      <c r="E34" s="2" t="s">
        <v>72</v>
      </c>
    </row>
    <row r="35" customFormat="false" ht="15" hidden="false" customHeight="false" outlineLevel="0" collapsed="false">
      <c r="A35" s="5" t="s">
        <v>73</v>
      </c>
      <c r="B35" s="13" t="n">
        <v>1000</v>
      </c>
      <c r="C35" s="13" t="n">
        <v>5000</v>
      </c>
      <c r="D35" s="13" t="n">
        <v>10000</v>
      </c>
      <c r="E35" s="2" t="s">
        <v>74</v>
      </c>
    </row>
    <row r="36" customFormat="false" ht="15" hidden="false" customHeight="false" outlineLevel="0" collapsed="false">
      <c r="A36" s="5" t="s">
        <v>75</v>
      </c>
      <c r="B36" s="14" t="n">
        <v>0.01</v>
      </c>
      <c r="C36" s="14" t="n">
        <v>0.015</v>
      </c>
      <c r="D36" s="14" t="n">
        <v>0.02</v>
      </c>
      <c r="E36" s="2" t="s">
        <v>76</v>
      </c>
    </row>
    <row r="37" customFormat="false" ht="15" hidden="false" customHeight="false" outlineLevel="0" collapsed="false">
      <c r="A37" s="5" t="s">
        <v>77</v>
      </c>
      <c r="B37" s="14" t="n">
        <v>0.03</v>
      </c>
      <c r="C37" s="14" t="n">
        <v>0.04</v>
      </c>
      <c r="D37" s="14" t="n">
        <v>0.05</v>
      </c>
      <c r="E37" s="2" t="s">
        <v>78</v>
      </c>
    </row>
    <row r="38" customFormat="false" ht="15" hidden="false" customHeight="false" outlineLevel="0" collapsed="false">
      <c r="A38" s="9" t="s">
        <v>79</v>
      </c>
      <c r="B38" s="10"/>
      <c r="C38" s="10"/>
      <c r="D38" s="10"/>
      <c r="E38" s="10"/>
    </row>
    <row r="39" customFormat="false" ht="22.35" hidden="false" customHeight="false" outlineLevel="0" collapsed="false">
      <c r="A39" s="5" t="s">
        <v>80</v>
      </c>
      <c r="B39" s="18" t="n">
        <v>120000</v>
      </c>
      <c r="C39" s="18" t="n">
        <v>200000</v>
      </c>
      <c r="D39" s="18" t="n">
        <v>350000</v>
      </c>
      <c r="E39" s="2" t="s">
        <v>81</v>
      </c>
    </row>
    <row r="40" customFormat="false" ht="15" hidden="false" customHeight="false" outlineLevel="0" collapsed="false">
      <c r="A40" s="5" t="s">
        <v>82</v>
      </c>
      <c r="B40" s="13" t="n">
        <v>45</v>
      </c>
      <c r="C40" s="13" t="n">
        <v>60</v>
      </c>
      <c r="D40" s="13" t="n">
        <v>75</v>
      </c>
      <c r="E40" s="2" t="s">
        <v>83</v>
      </c>
    </row>
    <row r="41" customFormat="false" ht="15" hidden="false" customHeight="false" outlineLevel="0" collapsed="false">
      <c r="A41" s="5" t="s">
        <v>84</v>
      </c>
      <c r="B41" s="14" t="n">
        <v>0.1</v>
      </c>
      <c r="C41" s="14" t="n">
        <v>0.15</v>
      </c>
      <c r="D41" s="14" t="n">
        <v>0.2</v>
      </c>
      <c r="E41" s="2" t="s">
        <v>27</v>
      </c>
    </row>
    <row r="42" customFormat="false" ht="15" hidden="false" customHeight="false" outlineLevel="0" collapsed="false">
      <c r="A42" s="5" t="s">
        <v>85</v>
      </c>
      <c r="B42" s="13" t="n">
        <v>100</v>
      </c>
      <c r="C42" s="13" t="n">
        <v>100</v>
      </c>
      <c r="D42" s="13" t="n">
        <v>100</v>
      </c>
      <c r="E42" s="2" t="s">
        <v>86</v>
      </c>
    </row>
    <row r="43" customFormat="false" ht="15" hidden="false" customHeight="false" outlineLevel="0" collapsed="false">
      <c r="A43" s="5" t="s">
        <v>87</v>
      </c>
      <c r="B43" s="16" t="n">
        <v>3000</v>
      </c>
      <c r="C43" s="16" t="n">
        <v>5000</v>
      </c>
      <c r="D43" s="16" t="n">
        <v>8000</v>
      </c>
      <c r="E43" s="2" t="s">
        <v>88</v>
      </c>
    </row>
    <row r="44" customFormat="false" ht="15" hidden="false" customHeight="false" outlineLevel="0" collapsed="false">
      <c r="A44" s="5" t="s">
        <v>89</v>
      </c>
      <c r="B44" s="13" t="n">
        <v>360</v>
      </c>
      <c r="C44" s="13" t="n">
        <v>360</v>
      </c>
      <c r="D44" s="13" t="n">
        <v>360</v>
      </c>
      <c r="E44" s="2" t="s">
        <v>90</v>
      </c>
    </row>
    <row r="45" customFormat="false" ht="15" hidden="false" customHeight="false" outlineLevel="0" collapsed="false">
      <c r="A45" s="5" t="s">
        <v>91</v>
      </c>
      <c r="B45" s="16" t="n">
        <v>20000</v>
      </c>
      <c r="C45" s="16" t="n">
        <v>35000</v>
      </c>
      <c r="D45" s="16" t="n">
        <v>60000</v>
      </c>
      <c r="E45" s="2" t="s">
        <v>88</v>
      </c>
    </row>
    <row r="46" customFormat="false" ht="15" hidden="false" customHeight="false" outlineLevel="0" collapsed="false">
      <c r="A46" s="5" t="s">
        <v>92</v>
      </c>
      <c r="B46" s="13" t="n">
        <v>100</v>
      </c>
      <c r="C46" s="13" t="n">
        <v>100</v>
      </c>
      <c r="D46" s="13" t="n">
        <v>100</v>
      </c>
      <c r="E46" s="2" t="s">
        <v>93</v>
      </c>
    </row>
    <row r="47" customFormat="false" ht="15" hidden="false" customHeight="false" outlineLevel="0" collapsed="false">
      <c r="A47" s="5" t="s">
        <v>94</v>
      </c>
      <c r="B47" s="16" t="n">
        <v>30000</v>
      </c>
      <c r="C47" s="16" t="n">
        <v>60000</v>
      </c>
      <c r="D47" s="16" t="n">
        <v>120000</v>
      </c>
      <c r="E47" s="2" t="s">
        <v>95</v>
      </c>
    </row>
    <row r="48" customFormat="false" ht="15" hidden="false" customHeight="false" outlineLevel="0" collapsed="false">
      <c r="A48" s="5" t="s">
        <v>96</v>
      </c>
      <c r="B48" s="13" t="n">
        <v>120</v>
      </c>
      <c r="C48" s="13" t="n">
        <v>150</v>
      </c>
      <c r="D48" s="13" t="n">
        <v>200</v>
      </c>
      <c r="E48" s="2" t="s">
        <v>97</v>
      </c>
    </row>
    <row r="49" customFormat="false" ht="15" hidden="false" customHeight="false" outlineLevel="0" collapsed="false">
      <c r="A49" s="5" t="s">
        <v>98</v>
      </c>
      <c r="B49" s="13" t="n">
        <v>500000</v>
      </c>
      <c r="C49" s="13" t="n">
        <v>1500000</v>
      </c>
      <c r="D49" s="13" t="n">
        <v>4000000</v>
      </c>
      <c r="E49" s="2" t="s">
        <v>99</v>
      </c>
    </row>
    <row r="50" customFormat="false" ht="15" hidden="false" customHeight="false" outlineLevel="0" collapsed="false">
      <c r="A50" s="5" t="s">
        <v>100</v>
      </c>
      <c r="B50" s="16" t="n">
        <v>3000</v>
      </c>
      <c r="C50" s="16" t="n">
        <v>6000</v>
      </c>
      <c r="D50" s="16" t="n">
        <v>12000</v>
      </c>
      <c r="E50" s="2" t="s">
        <v>27</v>
      </c>
    </row>
    <row r="51" customFormat="false" ht="15" hidden="false" customHeight="false" outlineLevel="0" collapsed="false">
      <c r="A51" s="5" t="s">
        <v>101</v>
      </c>
      <c r="B51" s="13" t="n">
        <v>600</v>
      </c>
      <c r="C51" s="13" t="n">
        <v>900</v>
      </c>
      <c r="D51" s="13" t="n">
        <v>1200</v>
      </c>
      <c r="E51" s="2" t="s">
        <v>102</v>
      </c>
    </row>
    <row r="52" customFormat="false" ht="15" hidden="false" customHeight="false" outlineLevel="0" collapsed="false">
      <c r="A52" s="5" t="s">
        <v>103</v>
      </c>
      <c r="B52" s="16" t="n">
        <v>40000</v>
      </c>
      <c r="C52" s="16" t="n">
        <v>80000</v>
      </c>
      <c r="D52" s="16" t="n">
        <v>150000</v>
      </c>
      <c r="E52" s="2" t="s">
        <v>27</v>
      </c>
    </row>
    <row r="53" customFormat="false" ht="15" hidden="false" customHeight="false" outlineLevel="0" collapsed="false">
      <c r="A53" s="5" t="s">
        <v>104</v>
      </c>
      <c r="B53" s="13" t="n">
        <v>35</v>
      </c>
      <c r="C53" s="13" t="n">
        <v>40</v>
      </c>
      <c r="D53" s="13" t="n">
        <v>50</v>
      </c>
      <c r="E53" s="2" t="s">
        <v>105</v>
      </c>
    </row>
    <row r="54" customFormat="false" ht="15" hidden="false" customHeight="false" outlineLevel="0" collapsed="false">
      <c r="A54" s="5" t="s">
        <v>106</v>
      </c>
      <c r="B54" s="16" t="n">
        <v>4500</v>
      </c>
      <c r="C54" s="16" t="n">
        <v>9000</v>
      </c>
      <c r="D54" s="16" t="n">
        <v>15000</v>
      </c>
      <c r="E54" s="2" t="s">
        <v>107</v>
      </c>
    </row>
    <row r="55" customFormat="false" ht="15" hidden="false" customHeight="false" outlineLevel="0" collapsed="false">
      <c r="A55" s="5" t="s">
        <v>108</v>
      </c>
      <c r="B55" s="13" t="n">
        <v>170</v>
      </c>
      <c r="C55" s="13" t="n">
        <v>170</v>
      </c>
      <c r="D55" s="13" t="n">
        <v>170</v>
      </c>
      <c r="E55" s="2" t="s">
        <v>109</v>
      </c>
    </row>
    <row r="56" customFormat="false" ht="22.35" hidden="false" customHeight="false" outlineLevel="0" collapsed="false">
      <c r="A56" s="5" t="s">
        <v>110</v>
      </c>
      <c r="B56" s="18" t="n">
        <v>5000</v>
      </c>
      <c r="C56" s="18" t="n">
        <v>10000</v>
      </c>
      <c r="D56" s="18" t="n">
        <v>20000</v>
      </c>
      <c r="E56" s="2" t="s">
        <v>111</v>
      </c>
    </row>
    <row r="57" customFormat="false" ht="22.35" hidden="false" customHeight="false" outlineLevel="0" collapsed="false">
      <c r="A57" s="5" t="s">
        <v>112</v>
      </c>
      <c r="B57" s="11" t="n">
        <v>1000</v>
      </c>
      <c r="C57" s="11" t="n">
        <v>4000</v>
      </c>
      <c r="D57" s="11" t="n">
        <v>10000</v>
      </c>
      <c r="E57" s="2" t="s">
        <v>113</v>
      </c>
    </row>
    <row r="58" customFormat="false" ht="15" hidden="false" customHeight="false" outlineLevel="0" collapsed="false">
      <c r="A58" s="5" t="s">
        <v>114</v>
      </c>
      <c r="B58" s="16" t="n">
        <v>2000</v>
      </c>
      <c r="C58" s="16" t="n">
        <v>5000</v>
      </c>
      <c r="D58" s="16" t="n">
        <v>10000</v>
      </c>
      <c r="E58" s="2" t="s">
        <v>27</v>
      </c>
    </row>
    <row r="59" customFormat="false" ht="15" hidden="false" customHeight="false" outlineLevel="0" collapsed="false">
      <c r="A59" s="5" t="s">
        <v>115</v>
      </c>
      <c r="B59" s="13" t="n">
        <v>300</v>
      </c>
      <c r="C59" s="13" t="n">
        <v>500</v>
      </c>
      <c r="D59" s="13" t="n">
        <v>1000</v>
      </c>
      <c r="E59" s="2" t="s">
        <v>116</v>
      </c>
    </row>
    <row r="60" customFormat="false" ht="15" hidden="false" customHeight="false" outlineLevel="0" collapsed="false">
      <c r="A60" s="9" t="s">
        <v>117</v>
      </c>
      <c r="B60" s="10"/>
      <c r="C60" s="10"/>
      <c r="D60" s="10"/>
      <c r="E60" s="10"/>
    </row>
    <row r="61" customFormat="false" ht="22.35" hidden="false" customHeight="false" outlineLevel="0" collapsed="false">
      <c r="A61" s="5" t="s">
        <v>118</v>
      </c>
      <c r="B61" s="18" t="n">
        <v>1310000</v>
      </c>
      <c r="C61" s="18" t="n">
        <v>2610000</v>
      </c>
      <c r="D61" s="18" t="n">
        <v>2850000</v>
      </c>
      <c r="E61" s="2" t="s">
        <v>119</v>
      </c>
    </row>
    <row r="62" customFormat="false" ht="22.35" hidden="false" customHeight="false" outlineLevel="0" collapsed="false">
      <c r="A62" s="5" t="s">
        <v>120</v>
      </c>
      <c r="B62" s="13" t="n">
        <v>139</v>
      </c>
      <c r="C62" s="13" t="n">
        <v>139</v>
      </c>
      <c r="D62" s="13" t="n">
        <v>139</v>
      </c>
      <c r="E62" s="2" t="s">
        <v>121</v>
      </c>
    </row>
    <row r="63" customFormat="false" ht="15" hidden="false" customHeight="false" outlineLevel="0" collapsed="false">
      <c r="A63" s="5" t="s">
        <v>122</v>
      </c>
      <c r="B63" s="13" t="n">
        <v>25000000</v>
      </c>
      <c r="C63" s="13" t="n">
        <v>35000000</v>
      </c>
      <c r="D63" s="13" t="n">
        <v>50000000</v>
      </c>
      <c r="E63" s="2" t="s">
        <v>123</v>
      </c>
    </row>
    <row r="64" customFormat="false" ht="22.35" hidden="false" customHeight="false" outlineLevel="0" collapsed="false">
      <c r="A64" s="5" t="s">
        <v>124</v>
      </c>
      <c r="B64" s="13" t="n">
        <v>10000000</v>
      </c>
      <c r="C64" s="13" t="n">
        <v>20000000</v>
      </c>
      <c r="D64" s="13" t="n">
        <v>30000000</v>
      </c>
      <c r="E64" s="2" t="s">
        <v>125</v>
      </c>
    </row>
    <row r="65" customFormat="false" ht="15" hidden="false" customHeight="false" outlineLevel="0" collapsed="false">
      <c r="A65" s="5" t="s">
        <v>126</v>
      </c>
      <c r="B65" s="16" t="n">
        <v>28000000</v>
      </c>
      <c r="C65" s="16" t="n">
        <v>29000000</v>
      </c>
      <c r="D65" s="16" t="n">
        <v>30000000</v>
      </c>
      <c r="E65" s="2" t="s">
        <v>127</v>
      </c>
    </row>
    <row r="66" customFormat="false" ht="15" hidden="false" customHeight="false" outlineLevel="0" collapsed="false">
      <c r="A66" s="5" t="s">
        <v>128</v>
      </c>
      <c r="B66" s="14" t="n">
        <v>0.03</v>
      </c>
      <c r="C66" s="14" t="n">
        <v>0.042</v>
      </c>
      <c r="D66" s="14" t="n">
        <v>0.06</v>
      </c>
      <c r="E66" s="2" t="s">
        <v>27</v>
      </c>
    </row>
    <row r="67" customFormat="false" ht="15" hidden="false" customHeight="false" outlineLevel="0" collapsed="false">
      <c r="A67" s="5" t="s">
        <v>129</v>
      </c>
      <c r="B67" s="13" t="n">
        <v>25</v>
      </c>
      <c r="C67" s="13" t="n">
        <v>25</v>
      </c>
      <c r="D67" s="13" t="n">
        <v>25</v>
      </c>
      <c r="E67" s="2" t="s">
        <v>130</v>
      </c>
    </row>
    <row r="68" customFormat="false" ht="15" hidden="false" customHeight="false" outlineLevel="0" collapsed="false">
      <c r="A68" s="5" t="s">
        <v>131</v>
      </c>
      <c r="B68" s="14" t="n">
        <v>0.05</v>
      </c>
      <c r="C68" s="14" t="n">
        <v>0.065</v>
      </c>
      <c r="D68" s="14" t="n">
        <v>0.08</v>
      </c>
      <c r="E68" s="2" t="s">
        <v>132</v>
      </c>
    </row>
    <row r="69" customFormat="false" ht="15" hidden="false" customHeight="false" outlineLevel="0" collapsed="false">
      <c r="A69" s="5" t="s">
        <v>133</v>
      </c>
      <c r="B69" s="13" t="n">
        <v>2000000000</v>
      </c>
      <c r="C69" s="13" t="n">
        <v>2000000000</v>
      </c>
      <c r="D69" s="13" t="n">
        <v>2000000000</v>
      </c>
      <c r="E69" s="2" t="s">
        <v>134</v>
      </c>
    </row>
    <row r="70" customFormat="false" ht="15" hidden="false" customHeight="false" outlineLevel="0" collapsed="false">
      <c r="A70" s="5" t="s">
        <v>135</v>
      </c>
      <c r="B70" s="14" t="n">
        <v>0.1</v>
      </c>
      <c r="C70" s="14" t="n">
        <v>0.2</v>
      </c>
      <c r="D70" s="14" t="n">
        <v>0.25</v>
      </c>
      <c r="E70" s="2" t="s">
        <v>136</v>
      </c>
    </row>
    <row r="71" customFormat="false" ht="15" hidden="false" customHeight="false" outlineLevel="0" collapsed="false">
      <c r="A71" s="5" t="s">
        <v>137</v>
      </c>
      <c r="B71" s="16" t="n">
        <v>860000</v>
      </c>
      <c r="C71" s="16" t="n">
        <v>950000</v>
      </c>
      <c r="D71" s="16" t="n">
        <v>1100000</v>
      </c>
      <c r="E71" s="2" t="s">
        <v>138</v>
      </c>
    </row>
    <row r="72" customFormat="false" ht="15" hidden="false" customHeight="false" outlineLevel="0" collapsed="false">
      <c r="A72" s="5" t="s">
        <v>139</v>
      </c>
      <c r="B72" s="13" t="n">
        <v>264</v>
      </c>
      <c r="C72" s="13" t="n">
        <v>264</v>
      </c>
      <c r="D72" s="13" t="n">
        <v>264</v>
      </c>
      <c r="E72" s="2" t="s">
        <v>140</v>
      </c>
    </row>
    <row r="73" customFormat="false" ht="22.35" hidden="false" customHeight="false" outlineLevel="0" collapsed="false">
      <c r="A73" s="5" t="s">
        <v>141</v>
      </c>
      <c r="B73" s="13" t="n">
        <v>2800000000</v>
      </c>
      <c r="C73" s="13" t="n">
        <v>3000000000</v>
      </c>
      <c r="D73" s="13" t="n">
        <v>3800000000</v>
      </c>
      <c r="E73" s="2" t="s">
        <v>142</v>
      </c>
    </row>
    <row r="74" customFormat="false" ht="15" hidden="false" customHeight="false" outlineLevel="0" collapsed="false">
      <c r="A74" s="9" t="s">
        <v>143</v>
      </c>
      <c r="B74" s="10"/>
      <c r="C74" s="10"/>
      <c r="D74" s="10"/>
      <c r="E74" s="10"/>
    </row>
    <row r="75" customFormat="false" ht="15" hidden="false" customHeight="false" outlineLevel="0" collapsed="false">
      <c r="A75" s="5" t="s">
        <v>144</v>
      </c>
      <c r="B75" s="14" t="n">
        <v>0.85</v>
      </c>
      <c r="C75" s="14" t="n">
        <v>0.85</v>
      </c>
      <c r="D75" s="14" t="n">
        <v>0.85</v>
      </c>
      <c r="E75" s="2" t="s">
        <v>145</v>
      </c>
    </row>
    <row r="76" customFormat="false" ht="15" hidden="false" customHeight="false" outlineLevel="0" collapsed="false">
      <c r="A76" s="5" t="s">
        <v>146</v>
      </c>
      <c r="B76" s="14" t="n">
        <v>0.15</v>
      </c>
      <c r="C76" s="14" t="n">
        <v>0.2</v>
      </c>
      <c r="D76" s="14" t="n">
        <v>0.25</v>
      </c>
      <c r="E76" s="2" t="s">
        <v>147</v>
      </c>
    </row>
    <row r="77" customFormat="false" ht="32.8" hidden="false" customHeight="false" outlineLevel="0" collapsed="false">
      <c r="A77" s="5" t="s">
        <v>148</v>
      </c>
      <c r="B77" s="18" t="n">
        <v>151</v>
      </c>
      <c r="C77" s="18" t="n">
        <v>267</v>
      </c>
      <c r="D77" s="18" t="n">
        <v>412</v>
      </c>
      <c r="E77" s="2" t="s">
        <v>149</v>
      </c>
    </row>
    <row r="78" customFormat="false" ht="15" hidden="false" customHeight="false" outlineLevel="0" collapsed="false">
      <c r="A78" s="5" t="s">
        <v>150</v>
      </c>
      <c r="B78" s="13" t="n">
        <v>8000</v>
      </c>
      <c r="C78" s="13" t="n">
        <v>25000</v>
      </c>
      <c r="D78" s="13" t="n">
        <v>60000</v>
      </c>
      <c r="E78" s="2" t="s">
        <v>27</v>
      </c>
    </row>
    <row r="79" customFormat="false" ht="15" hidden="false" customHeight="false" outlineLevel="0" collapsed="false">
      <c r="A79" s="5" t="s">
        <v>151</v>
      </c>
      <c r="B79" s="13" t="n">
        <v>10000</v>
      </c>
      <c r="C79" s="13" t="n">
        <v>25000</v>
      </c>
      <c r="D79" s="13" t="n">
        <v>50000</v>
      </c>
      <c r="E79" s="2" t="s">
        <v>27</v>
      </c>
    </row>
    <row r="80" customFormat="false" ht="15" hidden="false" customHeight="false" outlineLevel="0" collapsed="false">
      <c r="A80" s="5" t="s">
        <v>152</v>
      </c>
      <c r="B80" s="16" t="n">
        <v>25000</v>
      </c>
      <c r="C80" s="16" t="n">
        <v>40000</v>
      </c>
      <c r="D80" s="16" t="n">
        <v>60000</v>
      </c>
      <c r="E80" s="2" t="s">
        <v>153</v>
      </c>
    </row>
    <row r="81" customFormat="false" ht="15" hidden="false" customHeight="false" outlineLevel="0" collapsed="false">
      <c r="A81" s="5" t="s">
        <v>154</v>
      </c>
      <c r="B81" s="14" t="n">
        <v>0.5</v>
      </c>
      <c r="C81" s="14" t="n">
        <v>0.6</v>
      </c>
      <c r="D81" s="14" t="n">
        <v>0.65</v>
      </c>
      <c r="E81" s="2" t="s">
        <v>27</v>
      </c>
    </row>
    <row r="82" customFormat="false" ht="15" hidden="false" customHeight="false" outlineLevel="0" collapsed="false">
      <c r="A82" s="5" t="s">
        <v>155</v>
      </c>
      <c r="B82" s="12" t="n">
        <v>0.15</v>
      </c>
      <c r="C82" s="12" t="n">
        <v>0.22</v>
      </c>
      <c r="D82" s="12" t="n">
        <v>0.3</v>
      </c>
      <c r="E82" s="2" t="s">
        <v>156</v>
      </c>
    </row>
    <row r="83" customFormat="false" ht="15" hidden="false" customHeight="false" outlineLevel="0" collapsed="false">
      <c r="A83" s="5" t="s">
        <v>157</v>
      </c>
      <c r="B83" s="13" t="n">
        <v>500</v>
      </c>
      <c r="C83" s="13" t="n">
        <v>870</v>
      </c>
      <c r="D83" s="13" t="n">
        <v>1300</v>
      </c>
      <c r="E83" s="2" t="s">
        <v>158</v>
      </c>
    </row>
    <row r="84" customFormat="false" ht="15" hidden="false" customHeight="false" outlineLevel="0" collapsed="false">
      <c r="A84" s="5" t="s">
        <v>159</v>
      </c>
      <c r="B84" s="16" t="n">
        <v>600</v>
      </c>
      <c r="C84" s="16" t="n">
        <v>1350</v>
      </c>
      <c r="D84" s="16" t="n">
        <v>3000</v>
      </c>
      <c r="E84" s="2" t="s">
        <v>160</v>
      </c>
    </row>
    <row r="85" customFormat="false" ht="22.35" hidden="false" customHeight="false" outlineLevel="0" collapsed="false">
      <c r="A85" s="5" t="s">
        <v>161</v>
      </c>
      <c r="B85" s="12" t="n">
        <v>0.22</v>
      </c>
      <c r="C85" s="12" t="n">
        <v>0.35</v>
      </c>
      <c r="D85" s="12" t="n">
        <v>0.5</v>
      </c>
      <c r="E85" s="2" t="s">
        <v>162</v>
      </c>
    </row>
    <row r="86" customFormat="false" ht="15" hidden="false" customHeight="false" outlineLevel="0" collapsed="false">
      <c r="A86" s="5" t="s">
        <v>163</v>
      </c>
      <c r="B86" s="16" t="n">
        <v>88000000</v>
      </c>
      <c r="C86" s="16" t="n">
        <v>90000000</v>
      </c>
      <c r="D86" s="16" t="n">
        <v>92000000</v>
      </c>
      <c r="E86" s="2" t="s">
        <v>164</v>
      </c>
    </row>
    <row r="87" customFormat="false" ht="15" hidden="false" customHeight="false" outlineLevel="0" collapsed="false">
      <c r="A87" s="5" t="s">
        <v>165</v>
      </c>
      <c r="B87" s="14" t="n">
        <v>0.85</v>
      </c>
      <c r="C87" s="14" t="n">
        <v>0.85</v>
      </c>
      <c r="D87" s="14" t="n">
        <v>0.85</v>
      </c>
      <c r="E87" s="2" t="s">
        <v>145</v>
      </c>
    </row>
    <row r="88" customFormat="false" ht="15" hidden="false" customHeight="false" outlineLevel="0" collapsed="false">
      <c r="A88" s="5" t="s">
        <v>166</v>
      </c>
      <c r="B88" s="12" t="n">
        <v>0.005</v>
      </c>
      <c r="C88" s="12" t="n">
        <v>0.01</v>
      </c>
      <c r="D88" s="12" t="n">
        <v>0.02</v>
      </c>
      <c r="E88" s="2" t="s">
        <v>167</v>
      </c>
    </row>
    <row r="89" customFormat="false" ht="15" hidden="false" customHeight="false" outlineLevel="0" collapsed="false">
      <c r="A89" s="5" t="s">
        <v>168</v>
      </c>
      <c r="B89" s="13" t="n">
        <v>50</v>
      </c>
      <c r="C89" s="13" t="n">
        <v>100</v>
      </c>
      <c r="D89" s="13" t="n">
        <v>139</v>
      </c>
      <c r="E89" s="2" t="s">
        <v>169</v>
      </c>
    </row>
    <row r="90" customFormat="false" ht="15" hidden="false" customHeight="false" outlineLevel="0" collapsed="false">
      <c r="A90" s="9" t="s">
        <v>170</v>
      </c>
      <c r="B90" s="10"/>
      <c r="C90" s="10"/>
      <c r="D90" s="10"/>
      <c r="E90" s="10"/>
    </row>
    <row r="91" customFormat="false" ht="15" hidden="false" customHeight="false" outlineLevel="0" collapsed="false">
      <c r="A91" s="5" t="s">
        <v>171</v>
      </c>
      <c r="B91" s="16" t="n">
        <v>5</v>
      </c>
      <c r="C91" s="16" t="n">
        <v>10</v>
      </c>
      <c r="D91" s="16" t="n">
        <v>20</v>
      </c>
      <c r="E91" s="2" t="s">
        <v>172</v>
      </c>
    </row>
    <row r="92" customFormat="false" ht="15" hidden="false" customHeight="false" outlineLevel="0" collapsed="false">
      <c r="A92" s="5" t="s">
        <v>173</v>
      </c>
      <c r="B92" s="13" t="n">
        <v>1200</v>
      </c>
      <c r="C92" s="13" t="n">
        <v>1600</v>
      </c>
      <c r="D92" s="13" t="n">
        <v>2000</v>
      </c>
      <c r="E92" s="2" t="s">
        <v>174</v>
      </c>
    </row>
    <row r="93" customFormat="false" ht="22.35" hidden="false" customHeight="false" outlineLevel="0" collapsed="false">
      <c r="A93" s="5" t="s">
        <v>175</v>
      </c>
      <c r="B93" s="13" t="n">
        <v>48000</v>
      </c>
      <c r="C93" s="13" t="n">
        <v>48000</v>
      </c>
      <c r="D93" s="13" t="n">
        <v>48000</v>
      </c>
      <c r="E93" s="2" t="s">
        <v>176</v>
      </c>
    </row>
    <row r="94" customFormat="false" ht="15" hidden="false" customHeight="false" outlineLevel="0" collapsed="false">
      <c r="A94" s="9" t="s">
        <v>177</v>
      </c>
      <c r="B94" s="10"/>
      <c r="C94" s="10"/>
      <c r="D94" s="10"/>
      <c r="E94" s="10"/>
    </row>
    <row r="95" customFormat="false" ht="15" hidden="false" customHeight="false" outlineLevel="0" collapsed="false">
      <c r="A95" s="5" t="s">
        <v>178</v>
      </c>
      <c r="B95" s="14" t="n">
        <v>0.03</v>
      </c>
      <c r="C95" s="14" t="n">
        <v>0.06</v>
      </c>
      <c r="D95" s="14" t="n">
        <v>0.1</v>
      </c>
      <c r="E95" s="2" t="s">
        <v>179</v>
      </c>
    </row>
    <row r="96" customFormat="false" ht="15" hidden="false" customHeight="false" outlineLevel="0" collapsed="false">
      <c r="A96" s="5" t="s">
        <v>180</v>
      </c>
      <c r="B96" s="18" t="n">
        <v>300</v>
      </c>
      <c r="C96" s="18" t="n">
        <v>1000</v>
      </c>
      <c r="D96" s="18" t="n">
        <v>3000</v>
      </c>
      <c r="E96" s="2" t="s">
        <v>181</v>
      </c>
    </row>
    <row r="97" customFormat="false" ht="15" hidden="false" customHeight="false" outlineLevel="0" collapsed="false">
      <c r="A97" s="5" t="s">
        <v>182</v>
      </c>
      <c r="B97" s="18" t="n">
        <v>15</v>
      </c>
      <c r="C97" s="18" t="n">
        <v>40</v>
      </c>
      <c r="D97" s="18" t="n">
        <v>90</v>
      </c>
      <c r="E97" s="2" t="s">
        <v>183</v>
      </c>
    </row>
    <row r="98" customFormat="false" ht="15" hidden="false" customHeight="false" outlineLevel="0" collapsed="false">
      <c r="A98" s="5" t="s">
        <v>184</v>
      </c>
      <c r="B98" s="16" t="n">
        <v>1</v>
      </c>
      <c r="C98" s="16" t="n">
        <v>3</v>
      </c>
      <c r="D98" s="16" t="n">
        <v>8</v>
      </c>
      <c r="E98" s="2" t="s">
        <v>181</v>
      </c>
    </row>
    <row r="99" customFormat="false" ht="15" hidden="false" customHeight="false" outlineLevel="0" collapsed="false">
      <c r="A99" s="5" t="s">
        <v>185</v>
      </c>
      <c r="B99" s="13" t="n">
        <v>90000</v>
      </c>
      <c r="C99" s="13" t="n">
        <v>120000</v>
      </c>
      <c r="D99" s="13" t="n">
        <v>150000</v>
      </c>
      <c r="E99" s="2" t="s">
        <v>186</v>
      </c>
    </row>
    <row r="100" customFormat="false" ht="15" hidden="false" customHeight="false" outlineLevel="0" collapsed="false">
      <c r="A100" s="5" t="s">
        <v>187</v>
      </c>
      <c r="B100" s="16" t="n">
        <v>200</v>
      </c>
      <c r="C100" s="16" t="n">
        <v>800</v>
      </c>
      <c r="D100" s="16" t="n">
        <v>2500</v>
      </c>
      <c r="E100" s="2" t="s">
        <v>188</v>
      </c>
    </row>
    <row r="101" customFormat="false" ht="15" hidden="false" customHeight="false" outlineLevel="0" collapsed="false">
      <c r="A101" s="5" t="s">
        <v>189</v>
      </c>
      <c r="B101" s="13" t="n">
        <v>300</v>
      </c>
      <c r="C101" s="13" t="n">
        <v>500</v>
      </c>
      <c r="D101" s="13" t="n">
        <v>800</v>
      </c>
      <c r="E101" s="2" t="s">
        <v>190</v>
      </c>
    </row>
    <row r="102" customFormat="false" ht="15" hidden="false" customHeight="false" outlineLevel="0" collapsed="false">
      <c r="A102" s="5" t="s">
        <v>191</v>
      </c>
      <c r="B102" s="16" t="n">
        <v>2</v>
      </c>
      <c r="C102" s="16" t="n">
        <v>6</v>
      </c>
      <c r="D102" s="16" t="n">
        <v>15</v>
      </c>
      <c r="E102" s="2" t="s">
        <v>181</v>
      </c>
    </row>
    <row r="103" customFormat="false" ht="15" hidden="false" customHeight="false" outlineLevel="0" collapsed="false">
      <c r="A103" s="5" t="s">
        <v>192</v>
      </c>
      <c r="B103" s="13" t="n">
        <v>1000</v>
      </c>
      <c r="C103" s="13" t="n">
        <v>2500</v>
      </c>
      <c r="D103" s="13" t="n">
        <v>6000</v>
      </c>
      <c r="E103" s="2" t="s">
        <v>193</v>
      </c>
    </row>
    <row r="104" customFormat="false" ht="15" hidden="false" customHeight="false" outlineLevel="0" collapsed="false">
      <c r="A104" s="5" t="s">
        <v>194</v>
      </c>
      <c r="B104" s="14" t="n">
        <v>0.01</v>
      </c>
      <c r="C104" s="14" t="n">
        <v>0.03</v>
      </c>
      <c r="D104" s="14" t="n">
        <v>0.08</v>
      </c>
      <c r="E104" s="2" t="s">
        <v>27</v>
      </c>
    </row>
    <row r="105" customFormat="false" ht="15" hidden="false" customHeight="false" outlineLevel="0" collapsed="false">
      <c r="A105" s="5" t="s">
        <v>195</v>
      </c>
      <c r="B105" s="12" t="n">
        <v>0.15</v>
      </c>
      <c r="C105" s="12" t="n">
        <v>0.25</v>
      </c>
      <c r="D105" s="12" t="n">
        <v>0.35</v>
      </c>
      <c r="E105" s="2" t="s">
        <v>196</v>
      </c>
    </row>
    <row r="106" customFormat="false" ht="23.85" hidden="false" customHeight="false" outlineLevel="0" collapsed="false">
      <c r="A106" s="5" t="s">
        <v>197</v>
      </c>
      <c r="B106" s="19" t="n">
        <v>0.07</v>
      </c>
      <c r="C106" s="19" t="n">
        <v>0.6</v>
      </c>
      <c r="D106" s="19" t="n">
        <v>3.43</v>
      </c>
      <c r="E106" s="2" t="s">
        <v>198</v>
      </c>
    </row>
    <row r="107" customFormat="false" ht="22.35" hidden="false" customHeight="false" outlineLevel="0" collapsed="false">
      <c r="A107" s="5" t="s">
        <v>199</v>
      </c>
      <c r="B107" s="19" t="n">
        <v>0.86</v>
      </c>
      <c r="C107" s="19" t="n">
        <v>4.8</v>
      </c>
      <c r="D107" s="19" t="n">
        <v>15.76</v>
      </c>
      <c r="E107" s="2"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4" min="2" style="0" width="18"/>
    <col collapsed="false" customWidth="true" hidden="false" outlineLevel="0" max="5" min="5" style="0" width="90"/>
  </cols>
  <sheetData>
    <row r="1" customFormat="false" ht="16.15" hidden="false" customHeight="false" outlineLevel="0" collapsed="false">
      <c r="A1" s="6" t="s">
        <v>201</v>
      </c>
      <c r="B1" s="7"/>
      <c r="C1" s="7"/>
      <c r="D1" s="7"/>
      <c r="E1" s="7"/>
    </row>
    <row r="2" customFormat="false" ht="15" hidden="false" customHeight="false" outlineLevel="0" collapsed="false">
      <c r="A2" s="7"/>
      <c r="B2" s="7"/>
      <c r="C2" s="7"/>
      <c r="D2" s="7"/>
      <c r="E2" s="7"/>
    </row>
    <row r="3" customFormat="false" ht="15" hidden="false" customHeight="false" outlineLevel="0" collapsed="false">
      <c r="A3" s="8" t="s">
        <v>202</v>
      </c>
      <c r="B3" s="8" t="s">
        <v>16</v>
      </c>
      <c r="C3" s="8" t="s">
        <v>17</v>
      </c>
      <c r="D3" s="8" t="s">
        <v>18</v>
      </c>
      <c r="E3" s="8" t="s">
        <v>203</v>
      </c>
    </row>
    <row r="4" customFormat="false" ht="15" hidden="false" customHeight="false" outlineLevel="0" collapsed="false">
      <c r="A4" s="9" t="s">
        <v>204</v>
      </c>
      <c r="B4" s="10"/>
      <c r="C4" s="10"/>
      <c r="D4" s="10"/>
      <c r="E4" s="10"/>
    </row>
    <row r="5" customFormat="false" ht="15" hidden="false" customHeight="false" outlineLevel="0" collapsed="false">
      <c r="A5" s="20" t="s">
        <v>205</v>
      </c>
      <c r="B5" s="21" t="n">
        <f aca="false">Assumptions!$B$5</f>
        <v>94000000</v>
      </c>
      <c r="C5" s="21" t="n">
        <f aca="false">Assumptions!$C$5</f>
        <v>94000000</v>
      </c>
      <c r="D5" s="21" t="n">
        <f aca="false">Assumptions!$D$5</f>
        <v>94000000</v>
      </c>
      <c r="E5" s="7"/>
    </row>
    <row r="6" customFormat="false" ht="15" hidden="false" customHeight="false" outlineLevel="0" collapsed="false">
      <c r="A6" s="20" t="s">
        <v>206</v>
      </c>
      <c r="B6" s="22" t="n">
        <f aca="false">Assumptions!$B$6</f>
        <v>0.5</v>
      </c>
      <c r="C6" s="22" t="n">
        <f aca="false">Assumptions!$C$6</f>
        <v>0.65</v>
      </c>
      <c r="D6" s="22" t="n">
        <f aca="false">Assumptions!$D$6</f>
        <v>1</v>
      </c>
      <c r="E6" s="7"/>
    </row>
    <row r="7" customFormat="false" ht="15" hidden="false" customHeight="false" outlineLevel="0" collapsed="false">
      <c r="A7" s="20" t="s">
        <v>207</v>
      </c>
      <c r="B7" s="21" t="n">
        <f aca="false">Assumptions!$B$7</f>
        <v>43700000</v>
      </c>
      <c r="C7" s="21" t="n">
        <f aca="false">Assumptions!$C$7</f>
        <v>43700000</v>
      </c>
      <c r="D7" s="21" t="n">
        <f aca="false">Assumptions!$D$7</f>
        <v>43700000</v>
      </c>
      <c r="E7" s="7"/>
    </row>
    <row r="8" customFormat="false" ht="15" hidden="false" customHeight="false" outlineLevel="0" collapsed="false">
      <c r="A8" s="20" t="s">
        <v>206</v>
      </c>
      <c r="B8" s="22" t="n">
        <f aca="false">Assumptions!$B$8</f>
        <v>0.8</v>
      </c>
      <c r="C8" s="22" t="n">
        <f aca="false">Assumptions!$C$8</f>
        <v>0.9</v>
      </c>
      <c r="D8" s="22" t="n">
        <f aca="false">Assumptions!$D$8</f>
        <v>1</v>
      </c>
      <c r="E8" s="7"/>
    </row>
    <row r="9" customFormat="false" ht="15" hidden="false" customHeight="false" outlineLevel="0" collapsed="false">
      <c r="A9" s="20" t="s">
        <v>208</v>
      </c>
      <c r="B9" s="23" t="n">
        <f aca="false">Assumptions!$B$9</f>
        <v>1</v>
      </c>
      <c r="C9" s="23" t="n">
        <f aca="false">Assumptions!$C$9</f>
        <v>1.5</v>
      </c>
      <c r="D9" s="23" t="n">
        <f aca="false">Assumptions!$D$9</f>
        <v>2</v>
      </c>
      <c r="E9" s="7"/>
    </row>
    <row r="10" customFormat="false" ht="22.35" hidden="false" customHeight="false" outlineLevel="0" collapsed="false">
      <c r="A10" s="24" t="s">
        <v>209</v>
      </c>
      <c r="B10" s="25" t="n">
        <f aca="false">(B5*B6+B7*B8)*B9</f>
        <v>81960000</v>
      </c>
      <c r="C10" s="25" t="n">
        <f aca="false">(C5*C6+C7*C8)*C9</f>
        <v>150645000</v>
      </c>
      <c r="D10" s="25" t="n">
        <f aca="false">(D5*D6+D7*D8)*D9</f>
        <v>275400000</v>
      </c>
      <c r="E10" s="2" t="s">
        <v>210</v>
      </c>
    </row>
    <row r="11" customFormat="false" ht="15" hidden="false" customHeight="false" outlineLevel="0" collapsed="false">
      <c r="A11" s="7"/>
      <c r="B11" s="7"/>
      <c r="C11" s="7"/>
      <c r="D11" s="7"/>
      <c r="E11" s="7"/>
    </row>
    <row r="12" customFormat="false" ht="15" hidden="false" customHeight="false" outlineLevel="0" collapsed="false">
      <c r="A12" s="20" t="s">
        <v>211</v>
      </c>
      <c r="B12" s="26" t="n">
        <f aca="false">Assumptions!$B$10</f>
        <v>95</v>
      </c>
      <c r="C12" s="26" t="n">
        <f aca="false">Assumptions!$C$10</f>
        <v>105</v>
      </c>
      <c r="D12" s="26" t="n">
        <f aca="false">Assumptions!$D$10</f>
        <v>115</v>
      </c>
      <c r="E12" s="7"/>
    </row>
    <row r="13" customFormat="false" ht="15" hidden="false" customHeight="false" outlineLevel="0" collapsed="false">
      <c r="A13" s="20" t="s">
        <v>212</v>
      </c>
      <c r="B13" s="22" t="n">
        <f aca="false">Assumptions!$B$11</f>
        <v>0.75</v>
      </c>
      <c r="C13" s="22" t="n">
        <f aca="false">Assumptions!$C$11</f>
        <v>0.85</v>
      </c>
      <c r="D13" s="22" t="n">
        <f aca="false">Assumptions!$D$11</f>
        <v>0.9</v>
      </c>
      <c r="E13" s="7"/>
    </row>
    <row r="14" customFormat="false" ht="15" hidden="false" customHeight="false" outlineLevel="0" collapsed="false">
      <c r="A14" s="20" t="s">
        <v>213</v>
      </c>
      <c r="B14" s="26" t="n">
        <f aca="false">Assumptions!$B$12</f>
        <v>2</v>
      </c>
      <c r="C14" s="26" t="n">
        <f aca="false">Assumptions!$C$12</f>
        <v>3</v>
      </c>
      <c r="D14" s="26" t="n">
        <f aca="false">Assumptions!$D$12</f>
        <v>4</v>
      </c>
      <c r="E14" s="7"/>
    </row>
    <row r="15" customFormat="false" ht="15" hidden="false" customHeight="false" outlineLevel="0" collapsed="false">
      <c r="A15" s="20" t="s">
        <v>214</v>
      </c>
      <c r="B15" s="21" t="n">
        <f aca="false">Assumptions!$B$13</f>
        <v>10000</v>
      </c>
      <c r="C15" s="21" t="n">
        <f aca="false">Assumptions!$C$13</f>
        <v>15000</v>
      </c>
      <c r="D15" s="21" t="n">
        <f aca="false">Assumptions!$D$13</f>
        <v>25000</v>
      </c>
      <c r="E15" s="7"/>
    </row>
    <row r="16" customFormat="false" ht="15" hidden="false" customHeight="false" outlineLevel="0" collapsed="false">
      <c r="A16" s="20" t="s">
        <v>215</v>
      </c>
      <c r="B16" s="21" t="n">
        <f aca="false">Assumptions!$B$14</f>
        <v>1710000</v>
      </c>
      <c r="C16" s="21" t="n">
        <f aca="false">Assumptions!$C$14</f>
        <v>9200000</v>
      </c>
      <c r="D16" s="21" t="n">
        <f aca="false">Assumptions!$D$14</f>
        <v>33000000</v>
      </c>
      <c r="E16" s="7"/>
    </row>
    <row r="17" customFormat="false" ht="15" hidden="false" customHeight="false" outlineLevel="0" collapsed="false">
      <c r="A17" s="20" t="s">
        <v>216</v>
      </c>
      <c r="B17" s="23" t="n">
        <f aca="false">Assumptions!$B$15</f>
        <v>1.15</v>
      </c>
      <c r="C17" s="23" t="n">
        <f aca="false">Assumptions!$C$15</f>
        <v>1.3</v>
      </c>
      <c r="D17" s="23" t="n">
        <f aca="false">Assumptions!$D$15</f>
        <v>1.5</v>
      </c>
      <c r="E17" s="7"/>
    </row>
    <row r="18" customFormat="false" ht="15" hidden="false" customHeight="false" outlineLevel="0" collapsed="false">
      <c r="A18" s="27" t="s">
        <v>217</v>
      </c>
      <c r="B18" s="25" t="n">
        <f aca="false">(B12*B13*B14*B15+B16)*B17</f>
        <v>3605250</v>
      </c>
      <c r="C18" s="25" t="n">
        <f aca="false">(C12*C13*C14*C15+C16)*C17</f>
        <v>17181125</v>
      </c>
      <c r="D18" s="25" t="n">
        <f aca="false">(D12*D13*D14*D15+D16)*D17</f>
        <v>65025000</v>
      </c>
      <c r="E18" s="2" t="s">
        <v>218</v>
      </c>
    </row>
    <row r="19" customFormat="false" ht="15" hidden="false" customHeight="false" outlineLevel="0" collapsed="false">
      <c r="A19" s="7"/>
      <c r="B19" s="7"/>
      <c r="C19" s="7"/>
      <c r="D19" s="7"/>
      <c r="E19" s="7"/>
    </row>
    <row r="20" customFormat="false" ht="15" hidden="false" customHeight="false" outlineLevel="0" collapsed="false">
      <c r="A20" s="20" t="s">
        <v>219</v>
      </c>
      <c r="B20" s="22" t="n">
        <f aca="false">Assumptions!$B$16</f>
        <v>0.05</v>
      </c>
      <c r="C20" s="22" t="n">
        <f aca="false">Assumptions!$C$16</f>
        <v>0.1</v>
      </c>
      <c r="D20" s="22" t="n">
        <f aca="false">Assumptions!$D$16</f>
        <v>0.15</v>
      </c>
      <c r="E20" s="7"/>
    </row>
    <row r="21" customFormat="false" ht="15" hidden="false" customHeight="false" outlineLevel="0" collapsed="false">
      <c r="A21" s="27" t="s">
        <v>220</v>
      </c>
      <c r="B21" s="25" t="n">
        <f aca="false">B20*(B10-B18)</f>
        <v>3917737.5</v>
      </c>
      <c r="C21" s="25" t="n">
        <f aca="false">C20*(C10-C18)</f>
        <v>13346387.5</v>
      </c>
      <c r="D21" s="25" t="n">
        <f aca="false">D20*(D10-D18)</f>
        <v>31556250</v>
      </c>
      <c r="E21" s="2" t="s">
        <v>221</v>
      </c>
    </row>
    <row r="22" customFormat="false" ht="15" hidden="false" customHeight="false" outlineLevel="0" collapsed="false">
      <c r="A22" s="7"/>
      <c r="B22" s="7"/>
      <c r="C22" s="7"/>
      <c r="D22" s="7"/>
      <c r="E22" s="7"/>
    </row>
    <row r="23" customFormat="false" ht="22.35" hidden="false" customHeight="false" outlineLevel="0" collapsed="false">
      <c r="A23" s="27" t="s">
        <v>222</v>
      </c>
      <c r="B23" s="25" t="n">
        <f aca="false">B18+B21</f>
        <v>7522987.5</v>
      </c>
      <c r="C23" s="25" t="n">
        <f aca="false">C18+C21</f>
        <v>30527512.5</v>
      </c>
      <c r="D23" s="25" t="n">
        <f aca="false">D18+D21</f>
        <v>96581250</v>
      </c>
      <c r="E23" s="2" t="s">
        <v>223</v>
      </c>
    </row>
    <row r="24" customFormat="false" ht="15" hidden="false" customHeight="false" outlineLevel="0" collapsed="false">
      <c r="A24" s="7"/>
      <c r="B24" s="7"/>
      <c r="C24" s="7"/>
      <c r="D24" s="7"/>
      <c r="E24" s="7"/>
    </row>
    <row r="25" customFormat="false" ht="15" hidden="false" customHeight="false" outlineLevel="0" collapsed="false">
      <c r="A25" s="9" t="s">
        <v>44</v>
      </c>
      <c r="B25" s="10"/>
      <c r="C25" s="10"/>
      <c r="D25" s="10"/>
      <c r="E25" s="10"/>
    </row>
    <row r="26" customFormat="false" ht="15" hidden="false" customHeight="false" outlineLevel="0" collapsed="false">
      <c r="A26" s="20" t="s">
        <v>224</v>
      </c>
      <c r="B26" s="26" t="n">
        <f aca="false">Assumptions!$B$18</f>
        <v>25</v>
      </c>
      <c r="C26" s="26" t="n">
        <f aca="false">Assumptions!$C$18</f>
        <v>40</v>
      </c>
      <c r="D26" s="26" t="n">
        <f aca="false">Assumptions!$D$18</f>
        <v>60</v>
      </c>
      <c r="E26" s="7"/>
    </row>
    <row r="27" customFormat="false" ht="15" hidden="false" customHeight="false" outlineLevel="0" collapsed="false">
      <c r="A27" s="20" t="s">
        <v>225</v>
      </c>
      <c r="B27" s="21" t="n">
        <f aca="false">Assumptions!$B$19</f>
        <v>1000000</v>
      </c>
      <c r="C27" s="21" t="n">
        <f aca="false">Assumptions!$C$19</f>
        <v>2500000</v>
      </c>
      <c r="D27" s="21" t="n">
        <f aca="false">Assumptions!$D$19</f>
        <v>5000000</v>
      </c>
      <c r="E27" s="7"/>
    </row>
    <row r="28" customFormat="false" ht="15" hidden="false" customHeight="false" outlineLevel="0" collapsed="false">
      <c r="A28" s="24" t="s">
        <v>226</v>
      </c>
      <c r="B28" s="25" t="n">
        <f aca="false">B26*B27</f>
        <v>25000000</v>
      </c>
      <c r="C28" s="25" t="n">
        <f aca="false">C26*C27</f>
        <v>100000000</v>
      </c>
      <c r="D28" s="25" t="n">
        <f aca="false">D26*D27</f>
        <v>300000000</v>
      </c>
      <c r="E28" s="2" t="s">
        <v>227</v>
      </c>
    </row>
    <row r="29" customFormat="false" ht="15" hidden="false" customHeight="false" outlineLevel="0" collapsed="false">
      <c r="A29" s="7"/>
      <c r="B29" s="7"/>
      <c r="C29" s="7"/>
      <c r="D29" s="7"/>
      <c r="E29" s="7"/>
    </row>
    <row r="30" customFormat="false" ht="15" hidden="false" customHeight="false" outlineLevel="0" collapsed="false">
      <c r="A30" s="20" t="s">
        <v>228</v>
      </c>
      <c r="B30" s="26" t="n">
        <f aca="false">Assumptions!$B$20</f>
        <v>150</v>
      </c>
      <c r="C30" s="26" t="n">
        <f aca="false">Assumptions!$C$20</f>
        <v>300</v>
      </c>
      <c r="D30" s="26" t="n">
        <f aca="false">Assumptions!$D$20</f>
        <v>500</v>
      </c>
      <c r="E30" s="7"/>
    </row>
    <row r="31" customFormat="false" ht="15" hidden="false" customHeight="false" outlineLevel="0" collapsed="false">
      <c r="A31" s="20" t="s">
        <v>229</v>
      </c>
      <c r="B31" s="21" t="n">
        <f aca="false">Assumptions!$B$21</f>
        <v>100000</v>
      </c>
      <c r="C31" s="21" t="n">
        <f aca="false">Assumptions!$C$21</f>
        <v>200000</v>
      </c>
      <c r="D31" s="21" t="n">
        <f aca="false">Assumptions!$D$21</f>
        <v>350000</v>
      </c>
      <c r="E31" s="7"/>
    </row>
    <row r="32" customFormat="false" ht="15" hidden="false" customHeight="false" outlineLevel="0" collapsed="false">
      <c r="A32" s="24" t="s">
        <v>230</v>
      </c>
      <c r="B32" s="25" t="n">
        <f aca="false">B30*B31</f>
        <v>15000000</v>
      </c>
      <c r="C32" s="25" t="n">
        <f aca="false">C30*C31</f>
        <v>60000000</v>
      </c>
      <c r="D32" s="25" t="n">
        <f aca="false">D30*D31</f>
        <v>175000000</v>
      </c>
      <c r="E32" s="2" t="s">
        <v>231</v>
      </c>
    </row>
    <row r="33" customFormat="false" ht="15" hidden="false" customHeight="false" outlineLevel="0" collapsed="false">
      <c r="A33" s="7"/>
      <c r="B33" s="7"/>
      <c r="C33" s="7"/>
      <c r="D33" s="7"/>
      <c r="E33" s="7"/>
    </row>
    <row r="34" customFormat="false" ht="15" hidden="false" customHeight="false" outlineLevel="0" collapsed="false">
      <c r="A34" s="20" t="s">
        <v>232</v>
      </c>
      <c r="B34" s="26" t="n">
        <f aca="false">Assumptions!$B$22</f>
        <v>1000</v>
      </c>
      <c r="C34" s="26" t="n">
        <f aca="false">Assumptions!$C$22</f>
        <v>2000</v>
      </c>
      <c r="D34" s="26" t="n">
        <f aca="false">Assumptions!$D$22</f>
        <v>4000</v>
      </c>
      <c r="E34" s="7"/>
    </row>
    <row r="35" customFormat="false" ht="15" hidden="false" customHeight="false" outlineLevel="0" collapsed="false">
      <c r="A35" s="20" t="s">
        <v>233</v>
      </c>
      <c r="B35" s="21" t="n">
        <f aca="false">Assumptions!$B$23</f>
        <v>3000</v>
      </c>
      <c r="C35" s="21" t="n">
        <f aca="false">Assumptions!$C$23</f>
        <v>8000</v>
      </c>
      <c r="D35" s="21" t="n">
        <f aca="false">Assumptions!$D$23</f>
        <v>15000</v>
      </c>
      <c r="E35" s="7"/>
    </row>
    <row r="36" customFormat="false" ht="15" hidden="false" customHeight="false" outlineLevel="0" collapsed="false">
      <c r="A36" s="24" t="s">
        <v>234</v>
      </c>
      <c r="B36" s="25" t="n">
        <f aca="false">B34*B35</f>
        <v>3000000</v>
      </c>
      <c r="C36" s="25" t="n">
        <f aca="false">C34*C35</f>
        <v>16000000</v>
      </c>
      <c r="D36" s="25" t="n">
        <f aca="false">D34*D35</f>
        <v>60000000</v>
      </c>
      <c r="E36" s="2" t="s">
        <v>235</v>
      </c>
    </row>
    <row r="37" customFormat="false" ht="15" hidden="false" customHeight="false" outlineLevel="0" collapsed="false">
      <c r="A37" s="7"/>
      <c r="B37" s="7"/>
      <c r="C37" s="7"/>
      <c r="D37" s="7"/>
      <c r="E37" s="7"/>
    </row>
    <row r="38" customFormat="false" ht="15" hidden="false" customHeight="false" outlineLevel="0" collapsed="false">
      <c r="A38" s="28" t="s">
        <v>236</v>
      </c>
      <c r="B38" s="29" t="n">
        <f aca="false">B28+B32+B36</f>
        <v>43000000</v>
      </c>
      <c r="C38" s="29" t="n">
        <f aca="false">C28+C32+C36</f>
        <v>176000000</v>
      </c>
      <c r="D38" s="29" t="n">
        <f aca="false">D28+D32+D36</f>
        <v>535000000</v>
      </c>
      <c r="E38" s="30" t="s">
        <v>237</v>
      </c>
    </row>
    <row r="39" customFormat="false" ht="15" hidden="false" customHeight="false" outlineLevel="0" collapsed="false">
      <c r="A39" s="7"/>
      <c r="B39" s="7"/>
      <c r="C39" s="7"/>
      <c r="D39" s="7"/>
      <c r="E39" s="7"/>
    </row>
    <row r="40" customFormat="false" ht="15" hidden="false" customHeight="false" outlineLevel="0" collapsed="false">
      <c r="A40" s="9" t="s">
        <v>238</v>
      </c>
      <c r="B40" s="10"/>
      <c r="C40" s="10"/>
      <c r="D40" s="10"/>
      <c r="E40" s="10"/>
    </row>
    <row r="41" customFormat="false" ht="15" hidden="false" customHeight="false" outlineLevel="0" collapsed="false">
      <c r="A41" s="20" t="s">
        <v>239</v>
      </c>
      <c r="B41" s="26" t="n">
        <f aca="false">Assumptions!$B$25</f>
        <v>800</v>
      </c>
      <c r="C41" s="26" t="n">
        <f aca="false">Assumptions!$C$25</f>
        <v>1500</v>
      </c>
      <c r="D41" s="26" t="n">
        <f aca="false">Assumptions!$D$25</f>
        <v>3000</v>
      </c>
      <c r="E41" s="7"/>
    </row>
    <row r="42" customFormat="false" ht="15" hidden="false" customHeight="false" outlineLevel="0" collapsed="false">
      <c r="A42" s="20" t="s">
        <v>240</v>
      </c>
      <c r="B42" s="21" t="n">
        <f aca="false">Assumptions!$B$26</f>
        <v>10000</v>
      </c>
      <c r="C42" s="21" t="n">
        <f aca="false">Assumptions!$C$26</f>
        <v>25000</v>
      </c>
      <c r="D42" s="21" t="n">
        <f aca="false">Assumptions!$D$26</f>
        <v>50000</v>
      </c>
      <c r="E42" s="7"/>
    </row>
    <row r="43" customFormat="false" ht="15" hidden="false" customHeight="false" outlineLevel="0" collapsed="false">
      <c r="A43" s="24" t="s">
        <v>241</v>
      </c>
      <c r="B43" s="25" t="n">
        <f aca="false">B41*B42</f>
        <v>8000000</v>
      </c>
      <c r="C43" s="25" t="n">
        <f aca="false">C41*C42</f>
        <v>37500000</v>
      </c>
      <c r="D43" s="25" t="n">
        <f aca="false">D41*D42</f>
        <v>150000000</v>
      </c>
      <c r="E43" s="2" t="s">
        <v>242</v>
      </c>
    </row>
    <row r="44" customFormat="false" ht="15" hidden="false" customHeight="false" outlineLevel="0" collapsed="false">
      <c r="A44" s="7"/>
      <c r="B44" s="7"/>
      <c r="C44" s="7"/>
      <c r="D44" s="7"/>
      <c r="E44" s="7"/>
    </row>
    <row r="45" customFormat="false" ht="15" hidden="false" customHeight="false" outlineLevel="0" collapsed="false">
      <c r="A45" s="28" t="s">
        <v>243</v>
      </c>
      <c r="B45" s="29" t="n">
        <f aca="false">B43</f>
        <v>8000000</v>
      </c>
      <c r="C45" s="29" t="n">
        <f aca="false">C43</f>
        <v>37500000</v>
      </c>
      <c r="D45" s="29" t="n">
        <f aca="false">D43</f>
        <v>150000000</v>
      </c>
      <c r="E45" s="30"/>
    </row>
    <row r="46" customFormat="false" ht="15" hidden="false" customHeight="false" outlineLevel="0" collapsed="false">
      <c r="A46" s="7"/>
      <c r="B46" s="7"/>
      <c r="C46" s="7"/>
      <c r="D46" s="7"/>
      <c r="E46" s="7"/>
    </row>
    <row r="47" customFormat="false" ht="15" hidden="false" customHeight="false" outlineLevel="0" collapsed="false">
      <c r="A47" s="20" t="s">
        <v>244</v>
      </c>
      <c r="B47" s="26" t="n">
        <f aca="false">Assumptions!$B$27</f>
        <v>40</v>
      </c>
      <c r="C47" s="26" t="n">
        <f aca="false">Assumptions!$C$27</f>
        <v>40</v>
      </c>
      <c r="D47" s="26" t="n">
        <f aca="false">Assumptions!$D$27</f>
        <v>40</v>
      </c>
      <c r="E47" s="7"/>
    </row>
    <row r="48" customFormat="false" ht="15" hidden="false" customHeight="false" outlineLevel="0" collapsed="false">
      <c r="A48" s="20" t="s">
        <v>245</v>
      </c>
      <c r="B48" s="21" t="n">
        <f aca="false">Assumptions!$B$28</f>
        <v>500000</v>
      </c>
      <c r="C48" s="21" t="n">
        <f aca="false">Assumptions!$C$28</f>
        <v>1000000</v>
      </c>
      <c r="D48" s="21" t="n">
        <f aca="false">Assumptions!$D$28</f>
        <v>2000000</v>
      </c>
      <c r="E48" s="7"/>
    </row>
    <row r="49" customFormat="false" ht="15" hidden="false" customHeight="false" outlineLevel="0" collapsed="false">
      <c r="A49" s="27" t="s">
        <v>246</v>
      </c>
      <c r="B49" s="25" t="n">
        <f aca="false">B47*B48</f>
        <v>20000000</v>
      </c>
      <c r="C49" s="25" t="n">
        <f aca="false">C47*C48</f>
        <v>40000000</v>
      </c>
      <c r="D49" s="25" t="n">
        <f aca="false">D47*D48</f>
        <v>80000000</v>
      </c>
      <c r="E49" s="2" t="s">
        <v>247</v>
      </c>
    </row>
    <row r="50" customFormat="false" ht="15" hidden="false" customHeight="false" outlineLevel="0" collapsed="false">
      <c r="A50" s="7"/>
      <c r="B50" s="7"/>
      <c r="C50" s="7"/>
      <c r="D50" s="7"/>
      <c r="E50" s="7"/>
    </row>
    <row r="51" customFormat="false" ht="15" hidden="false" customHeight="false" outlineLevel="0" collapsed="false">
      <c r="A51" s="9" t="s">
        <v>248</v>
      </c>
      <c r="B51" s="10"/>
      <c r="C51" s="10"/>
      <c r="D51" s="10"/>
      <c r="E51" s="10"/>
    </row>
    <row r="52" customFormat="false" ht="15" hidden="false" customHeight="false" outlineLevel="0" collapsed="false">
      <c r="A52" s="20" t="s">
        <v>249</v>
      </c>
      <c r="B52" s="26" t="n">
        <f aca="false">Assumptions!$B$30</f>
        <v>40</v>
      </c>
      <c r="C52" s="26" t="n">
        <f aca="false">Assumptions!$C$30</f>
        <v>70</v>
      </c>
      <c r="D52" s="26" t="n">
        <f aca="false">Assumptions!$D$30</f>
        <v>120</v>
      </c>
      <c r="E52" s="7"/>
    </row>
    <row r="53" customFormat="false" ht="15" hidden="false" customHeight="false" outlineLevel="0" collapsed="false">
      <c r="A53" s="20" t="s">
        <v>250</v>
      </c>
      <c r="B53" s="21" t="n">
        <f aca="false">Assumptions!$B$31</f>
        <v>150000</v>
      </c>
      <c r="C53" s="21" t="n">
        <f aca="false">Assumptions!$C$31</f>
        <v>300000</v>
      </c>
      <c r="D53" s="21" t="n">
        <f aca="false">Assumptions!$D$31</f>
        <v>500000</v>
      </c>
      <c r="E53" s="7"/>
    </row>
    <row r="54" customFormat="false" ht="15" hidden="false" customHeight="false" outlineLevel="0" collapsed="false">
      <c r="A54" s="20" t="s">
        <v>251</v>
      </c>
      <c r="B54" s="26" t="n">
        <f aca="false">Assumptions!$B$32</f>
        <v>120</v>
      </c>
      <c r="C54" s="26" t="n">
        <f aca="false">Assumptions!$C$32</f>
        <v>240</v>
      </c>
      <c r="D54" s="26" t="n">
        <f aca="false">Assumptions!$D$32</f>
        <v>480</v>
      </c>
      <c r="E54" s="7"/>
    </row>
    <row r="55" customFormat="false" ht="15" hidden="false" customHeight="false" outlineLevel="0" collapsed="false">
      <c r="A55" s="20" t="s">
        <v>252</v>
      </c>
      <c r="B55" s="21" t="n">
        <f aca="false">Assumptions!$B$33</f>
        <v>20000</v>
      </c>
      <c r="C55" s="21" t="n">
        <f aca="false">Assumptions!$C$33</f>
        <v>40000</v>
      </c>
      <c r="D55" s="21" t="n">
        <f aca="false">Assumptions!$D$33</f>
        <v>75000</v>
      </c>
      <c r="E55" s="7"/>
    </row>
    <row r="56" customFormat="false" ht="15" hidden="false" customHeight="false" outlineLevel="0" collapsed="false">
      <c r="A56" s="20" t="s">
        <v>253</v>
      </c>
      <c r="B56" s="26" t="n">
        <f aca="false">Assumptions!$B$34</f>
        <v>360</v>
      </c>
      <c r="C56" s="26" t="n">
        <f aca="false">Assumptions!$C$34</f>
        <v>960</v>
      </c>
      <c r="D56" s="26" t="n">
        <f aca="false">Assumptions!$D$34</f>
        <v>2400</v>
      </c>
      <c r="E56" s="7"/>
    </row>
    <row r="57" customFormat="false" ht="15" hidden="false" customHeight="false" outlineLevel="0" collapsed="false">
      <c r="A57" s="20" t="s">
        <v>254</v>
      </c>
      <c r="B57" s="21" t="n">
        <f aca="false">Assumptions!$B$35</f>
        <v>1000</v>
      </c>
      <c r="C57" s="21" t="n">
        <f aca="false">Assumptions!$C$35</f>
        <v>5000</v>
      </c>
      <c r="D57" s="21" t="n">
        <f aca="false">Assumptions!$D$35</f>
        <v>10000</v>
      </c>
      <c r="E57" s="7"/>
    </row>
    <row r="58" customFormat="false" ht="15" hidden="false" customHeight="false" outlineLevel="0" collapsed="false">
      <c r="A58" s="20" t="s">
        <v>255</v>
      </c>
      <c r="B58" s="22" t="n">
        <f aca="false">Assumptions!$B$36</f>
        <v>0.01</v>
      </c>
      <c r="C58" s="22" t="n">
        <f aca="false">Assumptions!$C$36</f>
        <v>0.015</v>
      </c>
      <c r="D58" s="22" t="n">
        <f aca="false">Assumptions!$D$36</f>
        <v>0.02</v>
      </c>
      <c r="E58" s="7"/>
    </row>
    <row r="59" customFormat="false" ht="15" hidden="false" customHeight="false" outlineLevel="0" collapsed="false">
      <c r="A59" s="20" t="s">
        <v>256</v>
      </c>
      <c r="B59" s="22" t="n">
        <f aca="false">Assumptions!$B$37</f>
        <v>0.03</v>
      </c>
      <c r="C59" s="22" t="n">
        <f aca="false">Assumptions!$C$37</f>
        <v>0.04</v>
      </c>
      <c r="D59" s="22" t="n">
        <f aca="false">Assumptions!$D$37</f>
        <v>0.05</v>
      </c>
      <c r="E59" s="7"/>
    </row>
    <row r="60" customFormat="false" ht="22.35" hidden="false" customHeight="false" outlineLevel="0" collapsed="false">
      <c r="A60" s="27" t="s">
        <v>257</v>
      </c>
      <c r="B60" s="25" t="n">
        <f aca="false">(B52*B53+B54*B55)*B58+B56*B57*B59</f>
        <v>94800</v>
      </c>
      <c r="C60" s="25" t="n">
        <f aca="false">(C52*C53+C54*C55)*C58+C56*C57*C59</f>
        <v>651000</v>
      </c>
      <c r="D60" s="25" t="n">
        <f aca="false">(D52*D53+D54*D55)*D58+D56*D57*D59</f>
        <v>3120000</v>
      </c>
      <c r="E60" s="2" t="s">
        <v>258</v>
      </c>
    </row>
    <row r="61" customFormat="false" ht="15" hidden="false" customHeight="false" outlineLevel="0" collapsed="false">
      <c r="A61" s="7"/>
      <c r="B61" s="7"/>
      <c r="C61" s="7"/>
      <c r="D61" s="7"/>
      <c r="E61" s="7"/>
    </row>
    <row r="62" customFormat="false" ht="15" hidden="false" customHeight="false" outlineLevel="0" collapsed="false">
      <c r="A62" s="31" t="s">
        <v>259</v>
      </c>
      <c r="B62" s="32" t="n">
        <f aca="false">B10+B38+B45</f>
        <v>132960000</v>
      </c>
      <c r="C62" s="32" t="n">
        <f aca="false">C10+C38+C45</f>
        <v>364145000</v>
      </c>
      <c r="D62" s="32" t="n">
        <f aca="false">D10+D38+D45</f>
        <v>960400000</v>
      </c>
      <c r="E62" s="33" t="s">
        <v>260</v>
      </c>
    </row>
    <row r="63" customFormat="false" ht="15" hidden="false" customHeight="false" outlineLevel="0" collapsed="false">
      <c r="A63" s="7"/>
      <c r="B63" s="7"/>
      <c r="C63" s="7"/>
      <c r="D63" s="7"/>
      <c r="E63" s="7"/>
    </row>
    <row r="64" customFormat="false" ht="15" hidden="false" customHeight="false" outlineLevel="0" collapsed="false">
      <c r="A64" s="9" t="s">
        <v>261</v>
      </c>
      <c r="B64" s="10"/>
      <c r="C64" s="10"/>
      <c r="D64" s="10"/>
      <c r="E64" s="10"/>
    </row>
    <row r="65" customFormat="false" ht="15" hidden="false" customHeight="false" outlineLevel="0" collapsed="false">
      <c r="A65" s="20" t="s">
        <v>262</v>
      </c>
      <c r="B65" s="26" t="n">
        <f aca="false">Assumptions!$B$39</f>
        <v>120000</v>
      </c>
      <c r="C65" s="26" t="n">
        <f aca="false">Assumptions!$C$39</f>
        <v>200000</v>
      </c>
      <c r="D65" s="26" t="n">
        <f aca="false">Assumptions!$D$39</f>
        <v>350000</v>
      </c>
      <c r="E65" s="7"/>
    </row>
    <row r="66" customFormat="false" ht="15" hidden="false" customHeight="false" outlineLevel="0" collapsed="false">
      <c r="A66" s="20" t="s">
        <v>263</v>
      </c>
      <c r="B66" s="21" t="n">
        <f aca="false">Assumptions!$B$40</f>
        <v>45</v>
      </c>
      <c r="C66" s="21" t="n">
        <f aca="false">Assumptions!$C$40</f>
        <v>60</v>
      </c>
      <c r="D66" s="21" t="n">
        <f aca="false">Assumptions!$D$40</f>
        <v>75</v>
      </c>
      <c r="E66" s="7"/>
    </row>
    <row r="67" customFormat="false" ht="15" hidden="false" customHeight="false" outlineLevel="0" collapsed="false">
      <c r="A67" s="20" t="s">
        <v>264</v>
      </c>
      <c r="B67" s="22" t="n">
        <f aca="false">Assumptions!$B$41</f>
        <v>0.1</v>
      </c>
      <c r="C67" s="22" t="n">
        <f aca="false">Assumptions!$C$41</f>
        <v>0.15</v>
      </c>
      <c r="D67" s="22" t="n">
        <f aca="false">Assumptions!$D$41</f>
        <v>0.2</v>
      </c>
      <c r="E67" s="7"/>
    </row>
    <row r="68" customFormat="false" ht="15" hidden="false" customHeight="false" outlineLevel="0" collapsed="false">
      <c r="A68" s="20" t="s">
        <v>265</v>
      </c>
      <c r="B68" s="21" t="n">
        <f aca="false">Assumptions!$B$42</f>
        <v>100</v>
      </c>
      <c r="C68" s="21" t="n">
        <f aca="false">Assumptions!$C$42</f>
        <v>100</v>
      </c>
      <c r="D68" s="21" t="n">
        <f aca="false">Assumptions!$D$42</f>
        <v>100</v>
      </c>
      <c r="E68" s="7"/>
    </row>
    <row r="69" customFormat="false" ht="15" hidden="false" customHeight="false" outlineLevel="0" collapsed="false">
      <c r="A69" s="24" t="s">
        <v>266</v>
      </c>
      <c r="B69" s="25" t="n">
        <f aca="false">B65*B66+B65*B67*B68</f>
        <v>6600000</v>
      </c>
      <c r="C69" s="25" t="n">
        <f aca="false">C65*C66+C65*C67*C68</f>
        <v>15000000</v>
      </c>
      <c r="D69" s="25" t="n">
        <f aca="false">D65*D66+D65*D67*D68</f>
        <v>33250000</v>
      </c>
      <c r="E69" s="2" t="s">
        <v>267</v>
      </c>
    </row>
    <row r="70" customFormat="false" ht="15" hidden="false" customHeight="false" outlineLevel="0" collapsed="false">
      <c r="A70" s="7"/>
      <c r="B70" s="7"/>
      <c r="C70" s="7"/>
      <c r="D70" s="7"/>
      <c r="E70" s="7"/>
    </row>
    <row r="71" customFormat="false" ht="15" hidden="false" customHeight="false" outlineLevel="0" collapsed="false">
      <c r="A71" s="20" t="s">
        <v>268</v>
      </c>
      <c r="B71" s="26" t="n">
        <f aca="false">Assumptions!$B$43</f>
        <v>3000</v>
      </c>
      <c r="C71" s="26" t="n">
        <f aca="false">Assumptions!$C$43</f>
        <v>5000</v>
      </c>
      <c r="D71" s="26" t="n">
        <f aca="false">Assumptions!$D$43</f>
        <v>8000</v>
      </c>
      <c r="E71" s="7"/>
    </row>
    <row r="72" customFormat="false" ht="15" hidden="false" customHeight="false" outlineLevel="0" collapsed="false">
      <c r="A72" s="20" t="s">
        <v>269</v>
      </c>
      <c r="B72" s="21" t="n">
        <f aca="false">Assumptions!$B$44</f>
        <v>360</v>
      </c>
      <c r="C72" s="21" t="n">
        <f aca="false">Assumptions!$C$44</f>
        <v>360</v>
      </c>
      <c r="D72" s="21" t="n">
        <f aca="false">Assumptions!$D$44</f>
        <v>360</v>
      </c>
      <c r="E72" s="7"/>
    </row>
    <row r="73" customFormat="false" ht="15" hidden="false" customHeight="false" outlineLevel="0" collapsed="false">
      <c r="A73" s="20" t="s">
        <v>270</v>
      </c>
      <c r="B73" s="26" t="n">
        <f aca="false">Assumptions!$B$45</f>
        <v>20000</v>
      </c>
      <c r="C73" s="26" t="n">
        <f aca="false">Assumptions!$C$45</f>
        <v>35000</v>
      </c>
      <c r="D73" s="26" t="n">
        <f aca="false">Assumptions!$D$45</f>
        <v>60000</v>
      </c>
      <c r="E73" s="7"/>
    </row>
    <row r="74" customFormat="false" ht="15" hidden="false" customHeight="false" outlineLevel="0" collapsed="false">
      <c r="A74" s="20" t="s">
        <v>271</v>
      </c>
      <c r="B74" s="21" t="n">
        <f aca="false">Assumptions!$B$46</f>
        <v>100</v>
      </c>
      <c r="C74" s="21" t="n">
        <f aca="false">Assumptions!$C$46</f>
        <v>100</v>
      </c>
      <c r="D74" s="21" t="n">
        <f aca="false">Assumptions!$D$46</f>
        <v>100</v>
      </c>
      <c r="E74" s="7"/>
    </row>
    <row r="75" customFormat="false" ht="15" hidden="false" customHeight="false" outlineLevel="0" collapsed="false">
      <c r="A75" s="24" t="s">
        <v>272</v>
      </c>
      <c r="B75" s="25" t="n">
        <f aca="false">B71*B72+B73*B74</f>
        <v>3080000</v>
      </c>
      <c r="C75" s="25" t="n">
        <f aca="false">C71*C72+C73*C74</f>
        <v>5300000</v>
      </c>
      <c r="D75" s="25" t="n">
        <f aca="false">D71*D72+D73*D74</f>
        <v>8880000</v>
      </c>
      <c r="E75" s="2" t="s">
        <v>273</v>
      </c>
    </row>
    <row r="76" customFormat="false" ht="15" hidden="false" customHeight="false" outlineLevel="0" collapsed="false">
      <c r="A76" s="7"/>
      <c r="B76" s="7"/>
      <c r="C76" s="7"/>
      <c r="D76" s="7"/>
      <c r="E76" s="7"/>
    </row>
    <row r="77" customFormat="false" ht="15" hidden="false" customHeight="false" outlineLevel="0" collapsed="false">
      <c r="A77" s="20" t="s">
        <v>274</v>
      </c>
      <c r="B77" s="26" t="n">
        <f aca="false">Assumptions!$B$47</f>
        <v>30000</v>
      </c>
      <c r="C77" s="26" t="n">
        <f aca="false">Assumptions!$C$47</f>
        <v>60000</v>
      </c>
      <c r="D77" s="26" t="n">
        <f aca="false">Assumptions!$D$47</f>
        <v>120000</v>
      </c>
      <c r="E77" s="7"/>
    </row>
    <row r="78" customFormat="false" ht="15" hidden="false" customHeight="false" outlineLevel="0" collapsed="false">
      <c r="A78" s="20" t="s">
        <v>275</v>
      </c>
      <c r="B78" s="21" t="n">
        <f aca="false">Assumptions!$B$48</f>
        <v>120</v>
      </c>
      <c r="C78" s="21" t="n">
        <f aca="false">Assumptions!$C$48</f>
        <v>150</v>
      </c>
      <c r="D78" s="21" t="n">
        <f aca="false">Assumptions!$D$48</f>
        <v>200</v>
      </c>
      <c r="E78" s="7"/>
    </row>
    <row r="79" customFormat="false" ht="15" hidden="false" customHeight="false" outlineLevel="0" collapsed="false">
      <c r="A79" s="20" t="s">
        <v>276</v>
      </c>
      <c r="B79" s="21" t="n">
        <f aca="false">Assumptions!$B$49</f>
        <v>500000</v>
      </c>
      <c r="C79" s="21" t="n">
        <f aca="false">Assumptions!$C$49</f>
        <v>1500000</v>
      </c>
      <c r="D79" s="21" t="n">
        <f aca="false">Assumptions!$D$49</f>
        <v>4000000</v>
      </c>
      <c r="E79" s="7"/>
    </row>
    <row r="80" customFormat="false" ht="15" hidden="false" customHeight="false" outlineLevel="0" collapsed="false">
      <c r="A80" s="20" t="s">
        <v>277</v>
      </c>
      <c r="B80" s="26" t="n">
        <f aca="false">Assumptions!$B$50</f>
        <v>3000</v>
      </c>
      <c r="C80" s="26" t="n">
        <f aca="false">Assumptions!$C$50</f>
        <v>6000</v>
      </c>
      <c r="D80" s="26" t="n">
        <f aca="false">Assumptions!$D$50</f>
        <v>12000</v>
      </c>
      <c r="E80" s="7"/>
    </row>
    <row r="81" customFormat="false" ht="15" hidden="false" customHeight="false" outlineLevel="0" collapsed="false">
      <c r="A81" s="20" t="s">
        <v>278</v>
      </c>
      <c r="B81" s="21" t="n">
        <f aca="false">Assumptions!$B$51</f>
        <v>600</v>
      </c>
      <c r="C81" s="21" t="n">
        <f aca="false">Assumptions!$C$51</f>
        <v>900</v>
      </c>
      <c r="D81" s="21" t="n">
        <f aca="false">Assumptions!$D$51</f>
        <v>1200</v>
      </c>
      <c r="E81" s="7"/>
    </row>
    <row r="82" customFormat="false" ht="15" hidden="false" customHeight="false" outlineLevel="0" collapsed="false">
      <c r="A82" s="20" t="s">
        <v>279</v>
      </c>
      <c r="B82" s="26" t="n">
        <f aca="false">Assumptions!$B$52</f>
        <v>40000</v>
      </c>
      <c r="C82" s="26" t="n">
        <f aca="false">Assumptions!$C$52</f>
        <v>80000</v>
      </c>
      <c r="D82" s="26" t="n">
        <f aca="false">Assumptions!$D$52</f>
        <v>150000</v>
      </c>
      <c r="E82" s="7"/>
    </row>
    <row r="83" customFormat="false" ht="15" hidden="false" customHeight="false" outlineLevel="0" collapsed="false">
      <c r="A83" s="20" t="s">
        <v>280</v>
      </c>
      <c r="B83" s="21" t="n">
        <f aca="false">Assumptions!$B$53</f>
        <v>35</v>
      </c>
      <c r="C83" s="21" t="n">
        <f aca="false">Assumptions!$C$53</f>
        <v>40</v>
      </c>
      <c r="D83" s="21" t="n">
        <f aca="false">Assumptions!$D$53</f>
        <v>50</v>
      </c>
      <c r="E83" s="7"/>
    </row>
    <row r="84" customFormat="false" ht="15" hidden="false" customHeight="false" outlineLevel="0" collapsed="false">
      <c r="A84" s="20" t="s">
        <v>281</v>
      </c>
      <c r="B84" s="26" t="n">
        <f aca="false">Assumptions!$B$54</f>
        <v>4500</v>
      </c>
      <c r="C84" s="26" t="n">
        <f aca="false">Assumptions!$C$54</f>
        <v>9000</v>
      </c>
      <c r="D84" s="26" t="n">
        <f aca="false">Assumptions!$D$54</f>
        <v>15000</v>
      </c>
      <c r="E84" s="7"/>
    </row>
    <row r="85" customFormat="false" ht="15" hidden="false" customHeight="false" outlineLevel="0" collapsed="false">
      <c r="A85" s="20" t="s">
        <v>282</v>
      </c>
      <c r="B85" s="21" t="n">
        <f aca="false">Assumptions!$B$55</f>
        <v>170</v>
      </c>
      <c r="C85" s="21" t="n">
        <f aca="false">Assumptions!$C$55</f>
        <v>170</v>
      </c>
      <c r="D85" s="21" t="n">
        <f aca="false">Assumptions!$D$55</f>
        <v>170</v>
      </c>
      <c r="E85" s="7"/>
    </row>
    <row r="86" customFormat="false" ht="15" hidden="false" customHeight="false" outlineLevel="0" collapsed="false">
      <c r="A86" s="24" t="s">
        <v>283</v>
      </c>
      <c r="B86" s="25" t="n">
        <f aca="false">B77*B78+B79+B80*B81+B82*B83+B84*B85</f>
        <v>8065000</v>
      </c>
      <c r="C86" s="25" t="n">
        <f aca="false">C77*C78+C79+C80*C81+C82*C83+C84*C85</f>
        <v>20630000</v>
      </c>
      <c r="D86" s="25" t="n">
        <f aca="false">D77*D78+D79+D80*D81+D82*D83+D84*D85</f>
        <v>52450000</v>
      </c>
      <c r="E86" s="2" t="s">
        <v>284</v>
      </c>
    </row>
    <row r="87" customFormat="false" ht="15" hidden="false" customHeight="false" outlineLevel="0" collapsed="false">
      <c r="A87" s="7"/>
      <c r="B87" s="7"/>
      <c r="C87" s="7"/>
      <c r="D87" s="7"/>
      <c r="E87" s="7"/>
    </row>
    <row r="88" customFormat="false" ht="15" hidden="false" customHeight="false" outlineLevel="0" collapsed="false">
      <c r="A88" s="20" t="s">
        <v>285</v>
      </c>
      <c r="B88" s="26" t="n">
        <f aca="false">Assumptions!$B$56</f>
        <v>5000</v>
      </c>
      <c r="C88" s="26" t="n">
        <f aca="false">Assumptions!$C$56</f>
        <v>10000</v>
      </c>
      <c r="D88" s="26" t="n">
        <f aca="false">Assumptions!$D$56</f>
        <v>20000</v>
      </c>
      <c r="E88" s="7"/>
    </row>
    <row r="89" customFormat="false" ht="15" hidden="false" customHeight="false" outlineLevel="0" collapsed="false">
      <c r="A89" s="20" t="s">
        <v>286</v>
      </c>
      <c r="B89" s="21" t="n">
        <f aca="false">Assumptions!$B$57</f>
        <v>1000</v>
      </c>
      <c r="C89" s="21" t="n">
        <f aca="false">Assumptions!$C$57</f>
        <v>4000</v>
      </c>
      <c r="D89" s="21" t="n">
        <f aca="false">Assumptions!$D$57</f>
        <v>10000</v>
      </c>
      <c r="E89" s="7"/>
    </row>
    <row r="90" customFormat="false" ht="15" hidden="false" customHeight="false" outlineLevel="0" collapsed="false">
      <c r="A90" s="20" t="s">
        <v>287</v>
      </c>
      <c r="B90" s="26" t="n">
        <f aca="false">Assumptions!$B$58</f>
        <v>2000</v>
      </c>
      <c r="C90" s="26" t="n">
        <f aca="false">Assumptions!$C$58</f>
        <v>5000</v>
      </c>
      <c r="D90" s="26" t="n">
        <f aca="false">Assumptions!$D$58</f>
        <v>10000</v>
      </c>
      <c r="E90" s="7"/>
    </row>
    <row r="91" customFormat="false" ht="15" hidden="false" customHeight="false" outlineLevel="0" collapsed="false">
      <c r="A91" s="20" t="s">
        <v>288</v>
      </c>
      <c r="B91" s="21" t="n">
        <f aca="false">Assumptions!$B$59</f>
        <v>300</v>
      </c>
      <c r="C91" s="21" t="n">
        <f aca="false">Assumptions!$C$59</f>
        <v>500</v>
      </c>
      <c r="D91" s="21" t="n">
        <f aca="false">Assumptions!$D$59</f>
        <v>1000</v>
      </c>
      <c r="E91" s="7"/>
    </row>
    <row r="92" customFormat="false" ht="22.35" hidden="false" customHeight="false" outlineLevel="0" collapsed="false">
      <c r="A92" s="24" t="s">
        <v>289</v>
      </c>
      <c r="B92" s="25" t="n">
        <f aca="false">B88*B89+B90*B91</f>
        <v>5600000</v>
      </c>
      <c r="C92" s="25" t="n">
        <f aca="false">C88*C89+C90*C91</f>
        <v>42500000</v>
      </c>
      <c r="D92" s="25" t="n">
        <f aca="false">D88*D89+D90*D91</f>
        <v>210000000</v>
      </c>
      <c r="E92" s="2" t="s">
        <v>290</v>
      </c>
    </row>
    <row r="93" customFormat="false" ht="15" hidden="false" customHeight="false" outlineLevel="0" collapsed="false">
      <c r="A93" s="7"/>
      <c r="B93" s="7"/>
      <c r="C93" s="7"/>
      <c r="D93" s="7"/>
      <c r="E93" s="7"/>
    </row>
    <row r="94" customFormat="false" ht="15" hidden="false" customHeight="false" outlineLevel="0" collapsed="false">
      <c r="A94" s="31" t="s">
        <v>291</v>
      </c>
      <c r="B94" s="32" t="n">
        <f aca="false">B69+B75+B86+B92</f>
        <v>23345000</v>
      </c>
      <c r="C94" s="32" t="n">
        <f aca="false">C69+C75+C86+C92</f>
        <v>83430000</v>
      </c>
      <c r="D94" s="32" t="n">
        <f aca="false">D69+D75+D86+D92</f>
        <v>304580000</v>
      </c>
      <c r="E94" s="33" t="s">
        <v>292</v>
      </c>
    </row>
    <row r="95" customFormat="false" ht="15" hidden="false" customHeight="false" outlineLevel="0" collapsed="false">
      <c r="A95" s="7"/>
      <c r="B95" s="7"/>
      <c r="C95" s="7"/>
      <c r="D95" s="7"/>
      <c r="E95" s="7"/>
    </row>
    <row r="96" customFormat="false" ht="15" hidden="false" customHeight="false" outlineLevel="0" collapsed="false">
      <c r="A96" s="31" t="s">
        <v>293</v>
      </c>
      <c r="B96" s="32" t="n">
        <f aca="false">B62+B94</f>
        <v>156305000</v>
      </c>
      <c r="C96" s="32" t="n">
        <f aca="false">C62+C94</f>
        <v>447575000</v>
      </c>
      <c r="D96" s="32" t="n">
        <f aca="false">D62+D94</f>
        <v>1264980000</v>
      </c>
      <c r="E96" s="33"/>
    </row>
    <row r="97" customFormat="false" ht="15" hidden="false" customHeight="false" outlineLevel="0" collapsed="false">
      <c r="A97" s="7"/>
      <c r="B97" s="7"/>
      <c r="C97" s="7"/>
      <c r="D97" s="7"/>
      <c r="E97" s="7"/>
    </row>
    <row r="98" customFormat="false" ht="15" hidden="false" customHeight="false" outlineLevel="0" collapsed="false">
      <c r="A98" s="9" t="s">
        <v>294</v>
      </c>
      <c r="B98" s="10"/>
      <c r="C98" s="10"/>
      <c r="D98" s="10"/>
      <c r="E98" s="10"/>
    </row>
    <row r="99" customFormat="false" ht="15" hidden="false" customHeight="false" outlineLevel="0" collapsed="false">
      <c r="A99" s="20" t="s">
        <v>295</v>
      </c>
      <c r="B99" s="26" t="n">
        <f aca="false">Assumptions!$B$61</f>
        <v>1310000</v>
      </c>
      <c r="C99" s="26" t="n">
        <f aca="false">Assumptions!$C$61</f>
        <v>2610000</v>
      </c>
      <c r="D99" s="26" t="n">
        <f aca="false">Assumptions!$D$61</f>
        <v>2850000</v>
      </c>
      <c r="E99" s="7"/>
    </row>
    <row r="100" customFormat="false" ht="15" hidden="false" customHeight="false" outlineLevel="0" collapsed="false">
      <c r="A100" s="20" t="s">
        <v>296</v>
      </c>
      <c r="B100" s="21" t="n">
        <f aca="false">Assumptions!$B$62</f>
        <v>139</v>
      </c>
      <c r="C100" s="21" t="n">
        <f aca="false">Assumptions!$C$62</f>
        <v>139</v>
      </c>
      <c r="D100" s="21" t="n">
        <f aca="false">Assumptions!$D$62</f>
        <v>139</v>
      </c>
      <c r="E100" s="7"/>
    </row>
    <row r="101" customFormat="false" ht="15" hidden="false" customHeight="false" outlineLevel="0" collapsed="false">
      <c r="A101" s="24" t="s">
        <v>297</v>
      </c>
      <c r="B101" s="25" t="n">
        <f aca="false">B99*B100</f>
        <v>182090000</v>
      </c>
      <c r="C101" s="25" t="n">
        <f aca="false">C99*C100</f>
        <v>362790000</v>
      </c>
      <c r="D101" s="25" t="n">
        <f aca="false">D99*D100</f>
        <v>396150000</v>
      </c>
      <c r="E101" s="2" t="s">
        <v>298</v>
      </c>
    </row>
    <row r="102" customFormat="false" ht="15" hidden="false" customHeight="false" outlineLevel="0" collapsed="false">
      <c r="A102" s="7"/>
      <c r="B102" s="7"/>
      <c r="C102" s="7"/>
      <c r="D102" s="7"/>
      <c r="E102" s="7"/>
    </row>
    <row r="103" customFormat="false" ht="15" hidden="false" customHeight="false" outlineLevel="0" collapsed="false">
      <c r="A103" s="20" t="s">
        <v>299</v>
      </c>
      <c r="B103" s="21" t="n">
        <f aca="false">Assumptions!$B$63</f>
        <v>25000000</v>
      </c>
      <c r="C103" s="21" t="n">
        <f aca="false">Assumptions!$C$63</f>
        <v>35000000</v>
      </c>
      <c r="D103" s="21" t="n">
        <f aca="false">Assumptions!$D$63</f>
        <v>50000000</v>
      </c>
      <c r="E103" s="7"/>
    </row>
    <row r="104" customFormat="false" ht="15" hidden="false" customHeight="false" outlineLevel="0" collapsed="false">
      <c r="A104" s="20" t="s">
        <v>300</v>
      </c>
      <c r="B104" s="21" t="n">
        <f aca="false">Assumptions!$B$64</f>
        <v>10000000</v>
      </c>
      <c r="C104" s="21" t="n">
        <f aca="false">Assumptions!$C$64</f>
        <v>20000000</v>
      </c>
      <c r="D104" s="21" t="n">
        <f aca="false">Assumptions!$D$64</f>
        <v>30000000</v>
      </c>
      <c r="E104" s="7"/>
    </row>
    <row r="105" customFormat="false" ht="15" hidden="false" customHeight="false" outlineLevel="0" collapsed="false">
      <c r="A105" s="24" t="s">
        <v>301</v>
      </c>
      <c r="B105" s="25" t="n">
        <f aca="false">B103+B104</f>
        <v>35000000</v>
      </c>
      <c r="C105" s="25" t="n">
        <f aca="false">C103+C104</f>
        <v>55000000</v>
      </c>
      <c r="D105" s="25" t="n">
        <f aca="false">D103+D104</f>
        <v>80000000</v>
      </c>
      <c r="E105" s="2" t="s">
        <v>302</v>
      </c>
    </row>
    <row r="106" customFormat="false" ht="15" hidden="false" customHeight="false" outlineLevel="0" collapsed="false">
      <c r="A106" s="7"/>
      <c r="B106" s="7"/>
      <c r="C106" s="7"/>
      <c r="D106" s="7"/>
      <c r="E106" s="7"/>
    </row>
    <row r="107" customFormat="false" ht="15" hidden="false" customHeight="false" outlineLevel="0" collapsed="false">
      <c r="A107" s="20" t="s">
        <v>303</v>
      </c>
      <c r="B107" s="26" t="n">
        <f aca="false">Assumptions!$B$65</f>
        <v>28000000</v>
      </c>
      <c r="C107" s="26" t="n">
        <f aca="false">Assumptions!$C$65</f>
        <v>29000000</v>
      </c>
      <c r="D107" s="26" t="n">
        <f aca="false">Assumptions!$D$65</f>
        <v>30000000</v>
      </c>
      <c r="E107" s="7"/>
    </row>
    <row r="108" customFormat="false" ht="15" hidden="false" customHeight="false" outlineLevel="0" collapsed="false">
      <c r="A108" s="20" t="s">
        <v>304</v>
      </c>
      <c r="B108" s="22" t="n">
        <f aca="false">Assumptions!$B$66</f>
        <v>0.03</v>
      </c>
      <c r="C108" s="22" t="n">
        <f aca="false">Assumptions!$C$66</f>
        <v>0.042</v>
      </c>
      <c r="D108" s="22" t="n">
        <f aca="false">Assumptions!$D$66</f>
        <v>0.06</v>
      </c>
      <c r="E108" s="7"/>
    </row>
    <row r="109" customFormat="false" ht="15" hidden="false" customHeight="false" outlineLevel="0" collapsed="false">
      <c r="A109" s="20" t="s">
        <v>305</v>
      </c>
      <c r="B109" s="21" t="n">
        <f aca="false">Assumptions!$B$67</f>
        <v>25</v>
      </c>
      <c r="C109" s="21" t="n">
        <f aca="false">Assumptions!$C$67</f>
        <v>25</v>
      </c>
      <c r="D109" s="21" t="n">
        <f aca="false">Assumptions!$D$67</f>
        <v>25</v>
      </c>
      <c r="E109" s="7"/>
    </row>
    <row r="110" customFormat="false" ht="15" hidden="false" customHeight="false" outlineLevel="0" collapsed="false">
      <c r="A110" s="24" t="s">
        <v>306</v>
      </c>
      <c r="B110" s="25" t="n">
        <f aca="false">B107*B108*B109</f>
        <v>21000000</v>
      </c>
      <c r="C110" s="25" t="n">
        <f aca="false">C107*C108*C109</f>
        <v>30450000</v>
      </c>
      <c r="D110" s="25" t="n">
        <f aca="false">D107*D108*D109</f>
        <v>45000000</v>
      </c>
      <c r="E110" s="2" t="s">
        <v>307</v>
      </c>
    </row>
    <row r="111" customFormat="false" ht="15" hidden="false" customHeight="false" outlineLevel="0" collapsed="false">
      <c r="A111" s="7"/>
      <c r="B111" s="7"/>
      <c r="C111" s="7"/>
      <c r="D111" s="7"/>
      <c r="E111" s="7"/>
    </row>
    <row r="112" customFormat="false" ht="32.8" hidden="false" customHeight="false" outlineLevel="0" collapsed="false">
      <c r="A112" s="31" t="s">
        <v>308</v>
      </c>
      <c r="B112" s="32" t="n">
        <f aca="false">B101+B105+B110</f>
        <v>238090000</v>
      </c>
      <c r="C112" s="32" t="n">
        <f aca="false">C101+C105+C110</f>
        <v>448240000</v>
      </c>
      <c r="D112" s="32" t="n">
        <f aca="false">D101+D105+D110</f>
        <v>521150000</v>
      </c>
      <c r="E112" s="33" t="s">
        <v>309</v>
      </c>
    </row>
    <row r="113" customFormat="false" ht="15" hidden="false" customHeight="false" outlineLevel="0" collapsed="false">
      <c r="A113" s="7"/>
      <c r="B113" s="7"/>
      <c r="C113" s="7"/>
      <c r="D113" s="7"/>
      <c r="E113" s="7"/>
    </row>
    <row r="114" customFormat="false" ht="15" hidden="false" customHeight="false" outlineLevel="0" collapsed="false">
      <c r="A114" s="20" t="s">
        <v>310</v>
      </c>
      <c r="B114" s="22" t="n">
        <f aca="false">Assumptions!$B$68</f>
        <v>0.05</v>
      </c>
      <c r="C114" s="22" t="n">
        <f aca="false">Assumptions!$C$68</f>
        <v>0.065</v>
      </c>
      <c r="D114" s="22" t="n">
        <f aca="false">Assumptions!$D$68</f>
        <v>0.08</v>
      </c>
      <c r="E114" s="7"/>
    </row>
    <row r="115" customFormat="false" ht="15" hidden="false" customHeight="false" outlineLevel="0" collapsed="false">
      <c r="A115" s="27" t="s">
        <v>311</v>
      </c>
      <c r="B115" s="25" t="n">
        <f aca="false">B105*B114</f>
        <v>1750000</v>
      </c>
      <c r="C115" s="25" t="n">
        <f aca="false">C105*C114</f>
        <v>3575000</v>
      </c>
      <c r="D115" s="25" t="n">
        <f aca="false">D105*D114</f>
        <v>6400000</v>
      </c>
      <c r="E115" s="2" t="s">
        <v>312</v>
      </c>
    </row>
    <row r="116" customFormat="false" ht="15" hidden="false" customHeight="false" outlineLevel="0" collapsed="false">
      <c r="A116" s="7"/>
      <c r="B116" s="7"/>
      <c r="C116" s="7"/>
      <c r="D116" s="7"/>
      <c r="E116" s="7"/>
    </row>
    <row r="117" customFormat="false" ht="15" hidden="false" customHeight="false" outlineLevel="0" collapsed="false">
      <c r="A117" s="20" t="s">
        <v>313</v>
      </c>
      <c r="B117" s="21" t="n">
        <f aca="false">Assumptions!$B$69</f>
        <v>2000000000</v>
      </c>
      <c r="C117" s="21" t="n">
        <f aca="false">Assumptions!$C$69</f>
        <v>2000000000</v>
      </c>
      <c r="D117" s="21" t="n">
        <f aca="false">Assumptions!$D$69</f>
        <v>2000000000</v>
      </c>
      <c r="E117" s="7"/>
    </row>
    <row r="118" customFormat="false" ht="15" hidden="false" customHeight="false" outlineLevel="0" collapsed="false">
      <c r="A118" s="20" t="s">
        <v>314</v>
      </c>
      <c r="B118" s="22" t="n">
        <f aca="false">Assumptions!$B$70</f>
        <v>0.1</v>
      </c>
      <c r="C118" s="22" t="n">
        <f aca="false">Assumptions!$C$70</f>
        <v>0.2</v>
      </c>
      <c r="D118" s="22" t="n">
        <f aca="false">Assumptions!$D$70</f>
        <v>0.25</v>
      </c>
      <c r="E118" s="7"/>
    </row>
    <row r="119" customFormat="false" ht="15" hidden="false" customHeight="false" outlineLevel="0" collapsed="false">
      <c r="A119" s="27" t="s">
        <v>315</v>
      </c>
      <c r="B119" s="25" t="n">
        <f aca="false">B117*B118</f>
        <v>200000000</v>
      </c>
      <c r="C119" s="25" t="n">
        <f aca="false">C117*C118</f>
        <v>400000000</v>
      </c>
      <c r="D119" s="25" t="n">
        <f aca="false">D117*D118</f>
        <v>500000000</v>
      </c>
      <c r="E119" s="2" t="s">
        <v>316</v>
      </c>
    </row>
    <row r="120" customFormat="false" ht="15" hidden="false" customHeight="false" outlineLevel="0" collapsed="false">
      <c r="A120" s="7"/>
      <c r="B120" s="7"/>
      <c r="C120" s="7"/>
      <c r="D120" s="7"/>
      <c r="E120" s="7"/>
    </row>
    <row r="121" customFormat="false" ht="15" hidden="false" customHeight="false" outlineLevel="0" collapsed="false">
      <c r="A121" s="20" t="s">
        <v>317</v>
      </c>
      <c r="B121" s="26" t="n">
        <f aca="false">Assumptions!$B$71</f>
        <v>860000</v>
      </c>
      <c r="C121" s="26" t="n">
        <f aca="false">Assumptions!$C$71</f>
        <v>950000</v>
      </c>
      <c r="D121" s="26" t="n">
        <f aca="false">Assumptions!$D$71</f>
        <v>1100000</v>
      </c>
      <c r="E121" s="7"/>
    </row>
    <row r="122" customFormat="false" ht="15" hidden="false" customHeight="false" outlineLevel="0" collapsed="false">
      <c r="A122" s="20" t="s">
        <v>318</v>
      </c>
      <c r="B122" s="21" t="n">
        <f aca="false">Assumptions!$B$72</f>
        <v>264</v>
      </c>
      <c r="C122" s="21" t="n">
        <f aca="false">Assumptions!$C$72</f>
        <v>264</v>
      </c>
      <c r="D122" s="21" t="n">
        <f aca="false">Assumptions!$D$72</f>
        <v>264</v>
      </c>
      <c r="E122" s="7"/>
    </row>
    <row r="123" customFormat="false" ht="15" hidden="false" customHeight="false" outlineLevel="0" collapsed="false">
      <c r="A123" s="27" t="s">
        <v>319</v>
      </c>
      <c r="B123" s="25" t="n">
        <f aca="false">B121*B122</f>
        <v>227040000</v>
      </c>
      <c r="C123" s="25" t="n">
        <f aca="false">C121*C122</f>
        <v>250800000</v>
      </c>
      <c r="D123" s="25" t="n">
        <f aca="false">D121*D122</f>
        <v>290400000</v>
      </c>
      <c r="E123" s="2" t="s">
        <v>320</v>
      </c>
    </row>
    <row r="124" customFormat="false" ht="15" hidden="false" customHeight="false" outlineLevel="0" collapsed="false">
      <c r="A124" s="7"/>
      <c r="B124" s="7"/>
      <c r="C124" s="7"/>
      <c r="D124" s="7"/>
      <c r="E124" s="7"/>
    </row>
    <row r="125" customFormat="false" ht="15" hidden="false" customHeight="false" outlineLevel="0" collapsed="false">
      <c r="A125" s="20" t="s">
        <v>321</v>
      </c>
      <c r="B125" s="21" t="n">
        <f aca="false">Assumptions!$B$73</f>
        <v>2800000000</v>
      </c>
      <c r="C125" s="21" t="n">
        <f aca="false">Assumptions!$C$73</f>
        <v>3000000000</v>
      </c>
      <c r="D125" s="21" t="n">
        <f aca="false">Assumptions!$D$73</f>
        <v>3800000000</v>
      </c>
      <c r="E125" s="7"/>
    </row>
    <row r="126" customFormat="false" ht="15" hidden="false" customHeight="false" outlineLevel="0" collapsed="false">
      <c r="A126" s="27" t="s">
        <v>322</v>
      </c>
      <c r="B126" s="25" t="n">
        <f aca="false">B125</f>
        <v>2800000000</v>
      </c>
      <c r="C126" s="25" t="n">
        <f aca="false">C125</f>
        <v>3000000000</v>
      </c>
      <c r="D126" s="25" t="n">
        <f aca="false">D125</f>
        <v>3800000000</v>
      </c>
      <c r="E126" s="2" t="s">
        <v>323</v>
      </c>
    </row>
    <row r="127" customFormat="false" ht="15" hidden="false" customHeight="false" outlineLevel="0" collapsed="false">
      <c r="A127" s="7"/>
      <c r="B127" s="7"/>
      <c r="C127" s="7"/>
      <c r="D127" s="7"/>
      <c r="E127" s="7"/>
    </row>
    <row r="128" customFormat="false" ht="32.8" hidden="false" customHeight="false" outlineLevel="0" collapsed="false">
      <c r="A128" s="31" t="s">
        <v>324</v>
      </c>
      <c r="B128" s="32" t="n">
        <f aca="false">B96+B112</f>
        <v>394395000</v>
      </c>
      <c r="C128" s="32" t="n">
        <f aca="false">C96+C112</f>
        <v>895815000</v>
      </c>
      <c r="D128" s="32" t="n">
        <f aca="false">D96+D112</f>
        <v>1786130000</v>
      </c>
      <c r="E128" s="33" t="s">
        <v>325</v>
      </c>
    </row>
    <row r="129" customFormat="false" ht="15" hidden="false" customHeight="false" outlineLevel="0" collapsed="false">
      <c r="A129" s="7"/>
      <c r="B129" s="7"/>
      <c r="C129" s="7"/>
      <c r="D129" s="7"/>
      <c r="E129" s="7"/>
    </row>
    <row r="130" customFormat="false" ht="15" hidden="false" customHeight="false" outlineLevel="0" collapsed="false">
      <c r="A130" s="9" t="s">
        <v>326</v>
      </c>
      <c r="B130" s="10"/>
      <c r="C130" s="10"/>
      <c r="D130" s="10"/>
      <c r="E130" s="10"/>
    </row>
    <row r="131" customFormat="false" ht="22.35" hidden="false" customHeight="false" outlineLevel="0" collapsed="false">
      <c r="A131" s="34" t="s">
        <v>327</v>
      </c>
      <c r="B131" s="7"/>
      <c r="C131" s="13" t="n">
        <v>255000000000</v>
      </c>
      <c r="D131" s="7"/>
      <c r="E131" s="2" t="s">
        <v>328</v>
      </c>
    </row>
    <row r="132" customFormat="false" ht="15" hidden="false" customHeight="false" outlineLevel="0" collapsed="false">
      <c r="A132" s="34" t="s">
        <v>329</v>
      </c>
      <c r="B132" s="7"/>
      <c r="C132" s="13" t="n">
        <v>33600000000</v>
      </c>
      <c r="D132" s="7"/>
      <c r="E132" s="2" t="s">
        <v>330</v>
      </c>
    </row>
    <row r="133" customFormat="false" ht="15" hidden="false" customHeight="false" outlineLevel="0" collapsed="false">
      <c r="A133" s="34" t="s">
        <v>331</v>
      </c>
      <c r="B133" s="7"/>
      <c r="C133" s="16" t="n">
        <v>780000000</v>
      </c>
      <c r="D133" s="7"/>
      <c r="E133" s="2" t="s">
        <v>332</v>
      </c>
    </row>
    <row r="134" customFormat="false" ht="15" hidden="false" customHeight="false" outlineLevel="0" collapsed="false">
      <c r="A134" s="34" t="s">
        <v>333</v>
      </c>
      <c r="B134" s="7"/>
      <c r="C134" s="16" t="n">
        <v>200000000</v>
      </c>
      <c r="D134" s="7"/>
      <c r="E134" s="2" t="s">
        <v>334</v>
      </c>
    </row>
    <row r="135" customFormat="false" ht="15" hidden="false" customHeight="false" outlineLevel="0" collapsed="false">
      <c r="A135" s="24" t="s">
        <v>335</v>
      </c>
      <c r="B135" s="7"/>
      <c r="C135" s="35" t="n">
        <f aca="false">C62/C131</f>
        <v>0.00142801960784314</v>
      </c>
      <c r="D135" s="7"/>
      <c r="E135" s="36" t="s">
        <v>336</v>
      </c>
    </row>
    <row r="136" customFormat="false" ht="15" hidden="false" customHeight="false" outlineLevel="0" collapsed="false">
      <c r="A136" s="24" t="s">
        <v>337</v>
      </c>
      <c r="B136" s="7"/>
      <c r="C136" s="25" t="n">
        <f aca="false">C131*0.01</f>
        <v>2550000000</v>
      </c>
      <c r="D136" s="7"/>
      <c r="E136" s="36" t="s">
        <v>338</v>
      </c>
    </row>
    <row r="137" customFormat="false" ht="15" hidden="false" customHeight="false" outlineLevel="0" collapsed="false">
      <c r="A137" s="7"/>
      <c r="B137" s="7"/>
      <c r="C137" s="7"/>
      <c r="D137" s="7"/>
      <c r="E137" s="7"/>
    </row>
    <row r="138" customFormat="false" ht="15" hidden="false" customHeight="false" outlineLevel="0" collapsed="false">
      <c r="A138" s="8" t="s">
        <v>339</v>
      </c>
      <c r="B138" s="8" t="s">
        <v>16</v>
      </c>
      <c r="C138" s="8" t="s">
        <v>17</v>
      </c>
      <c r="D138" s="8" t="s">
        <v>18</v>
      </c>
      <c r="E138" s="8"/>
    </row>
    <row r="139" customFormat="false" ht="15" hidden="false" customHeight="false" outlineLevel="0" collapsed="false">
      <c r="A139" s="34" t="s">
        <v>340</v>
      </c>
      <c r="B139" s="37" t="n">
        <f aca="false">B10</f>
        <v>81960000</v>
      </c>
      <c r="C139" s="37" t="n">
        <f aca="false">C10</f>
        <v>150645000</v>
      </c>
      <c r="D139" s="37" t="n">
        <f aca="false">D10</f>
        <v>275400000</v>
      </c>
      <c r="E139" s="7"/>
    </row>
    <row r="140" customFormat="false" ht="15" hidden="false" customHeight="false" outlineLevel="0" collapsed="false">
      <c r="A140" s="34" t="s">
        <v>341</v>
      </c>
      <c r="B140" s="37" t="n">
        <f aca="false">B38</f>
        <v>43000000</v>
      </c>
      <c r="C140" s="37" t="n">
        <f aca="false">C38</f>
        <v>176000000</v>
      </c>
      <c r="D140" s="37" t="n">
        <f aca="false">D38</f>
        <v>535000000</v>
      </c>
      <c r="E140" s="7"/>
    </row>
    <row r="141" customFormat="false" ht="15" hidden="false" customHeight="false" outlineLevel="0" collapsed="false">
      <c r="A141" s="34" t="s">
        <v>342</v>
      </c>
      <c r="B141" s="37" t="n">
        <f aca="false">B45</f>
        <v>8000000</v>
      </c>
      <c r="C141" s="37" t="n">
        <f aca="false">C45</f>
        <v>37500000</v>
      </c>
      <c r="D141" s="37" t="n">
        <f aca="false">D45</f>
        <v>150000000</v>
      </c>
      <c r="E141" s="7"/>
    </row>
    <row r="142" customFormat="false" ht="15" hidden="false" customHeight="false" outlineLevel="0" collapsed="false">
      <c r="A142" s="28" t="s">
        <v>343</v>
      </c>
      <c r="B142" s="29" t="n">
        <f aca="false">B62</f>
        <v>132960000</v>
      </c>
      <c r="C142" s="29" t="n">
        <f aca="false">C62</f>
        <v>364145000</v>
      </c>
      <c r="D142" s="29" t="n">
        <f aca="false">D62</f>
        <v>960400000</v>
      </c>
      <c r="E142" s="38"/>
    </row>
    <row r="143" customFormat="false" ht="15" hidden="false" customHeight="false" outlineLevel="0" collapsed="false">
      <c r="A143" s="28" t="s">
        <v>344</v>
      </c>
      <c r="B143" s="29" t="n">
        <f aca="false">B94</f>
        <v>23345000</v>
      </c>
      <c r="C143" s="29" t="n">
        <f aca="false">C94</f>
        <v>83430000</v>
      </c>
      <c r="D143" s="29" t="n">
        <f aca="false">D94</f>
        <v>304580000</v>
      </c>
      <c r="E143" s="38"/>
    </row>
    <row r="144" customFormat="false" ht="15" hidden="false" customHeight="false" outlineLevel="0" collapsed="false">
      <c r="A144" s="28" t="s">
        <v>345</v>
      </c>
      <c r="B144" s="29" t="n">
        <f aca="false">B96</f>
        <v>156305000</v>
      </c>
      <c r="C144" s="29" t="n">
        <f aca="false">C96</f>
        <v>447575000</v>
      </c>
      <c r="D144" s="29" t="n">
        <f aca="false">D96</f>
        <v>1264980000</v>
      </c>
      <c r="E144" s="38"/>
    </row>
    <row r="145" customFormat="false" ht="15" hidden="false" customHeight="false" outlineLevel="0" collapsed="false">
      <c r="A145" s="28" t="s">
        <v>346</v>
      </c>
      <c r="B145" s="29" t="n">
        <f aca="false">B112</f>
        <v>238090000</v>
      </c>
      <c r="C145" s="29" t="n">
        <f aca="false">C112</f>
        <v>448240000</v>
      </c>
      <c r="D145" s="29" t="n">
        <f aca="false">D112</f>
        <v>521150000</v>
      </c>
      <c r="E145" s="38"/>
    </row>
    <row r="146" customFormat="false" ht="15" hidden="false" customHeight="false" outlineLevel="0" collapsed="false">
      <c r="A146" s="28" t="s">
        <v>347</v>
      </c>
      <c r="B146" s="29" t="n">
        <f aca="false">B128</f>
        <v>394395000</v>
      </c>
      <c r="C146" s="29" t="n">
        <f aca="false">C128</f>
        <v>895815000</v>
      </c>
      <c r="D146" s="29" t="n">
        <f aca="false">D128</f>
        <v>1786130000</v>
      </c>
      <c r="E146" s="38"/>
    </row>
    <row r="147" customFormat="false" ht="15" hidden="false" customHeight="false" outlineLevel="0" collapsed="false">
      <c r="A147" s="34" t="s">
        <v>348</v>
      </c>
      <c r="B147" s="21" t="n">
        <f aca="false">'SAM &amp; SOM'!B10</f>
        <v>5214680.90625</v>
      </c>
      <c r="C147" s="21" t="n">
        <f aca="false">'SAM &amp; SOM'!C10</f>
        <v>28533277.125</v>
      </c>
      <c r="D147" s="21" t="n">
        <f aca="false">'SAM &amp; SOM'!D10</f>
        <v>111053515.625</v>
      </c>
      <c r="E147" s="7"/>
    </row>
    <row r="148" customFormat="false" ht="15" hidden="false" customHeight="false" outlineLevel="0" collapsed="false">
      <c r="A148" s="34" t="s">
        <v>349</v>
      </c>
      <c r="B148" s="21" t="n">
        <f aca="false">'SAM &amp; SOM'!B14</f>
        <v>4114000</v>
      </c>
      <c r="C148" s="21" t="n">
        <f aca="false">'SAM &amp; SOM'!C14</f>
        <v>26775000</v>
      </c>
      <c r="D148" s="21" t="n">
        <f aca="false">'SAM &amp; SOM'!D14</f>
        <v>108698000</v>
      </c>
      <c r="E148" s="7"/>
    </row>
    <row r="149" customFormat="false" ht="15" hidden="false" customHeight="false" outlineLevel="0" collapsed="false">
      <c r="A149" s="28" t="s">
        <v>350</v>
      </c>
      <c r="B149" s="29" t="n">
        <f aca="false">'SAM &amp; SOM'!B16</f>
        <v>9328680.90625</v>
      </c>
      <c r="C149" s="29" t="n">
        <f aca="false">'SAM &amp; SOM'!C16</f>
        <v>55308277.125</v>
      </c>
      <c r="D149" s="29" t="n">
        <f aca="false">'SAM &amp; SOM'!D16</f>
        <v>219751515.625</v>
      </c>
      <c r="E149" s="38"/>
    </row>
    <row r="150" customFormat="false" ht="15" hidden="false" customHeight="false" outlineLevel="0" collapsed="false">
      <c r="A150" s="34" t="s">
        <v>351</v>
      </c>
      <c r="B150" s="26" t="n">
        <f aca="false">'SAM &amp; SOM'!B13</f>
        <v>16456000</v>
      </c>
      <c r="C150" s="26" t="n">
        <f aca="false">'SAM &amp; SOM'!C13</f>
        <v>26775000</v>
      </c>
      <c r="D150" s="26" t="n">
        <f aca="false">'SAM &amp; SOM'!D13</f>
        <v>39100000</v>
      </c>
      <c r="E150" s="7"/>
    </row>
    <row r="151" customFormat="false" ht="15" hidden="false" customHeight="false" outlineLevel="0" collapsed="false">
      <c r="A151" s="34" t="s">
        <v>352</v>
      </c>
      <c r="B151" s="21" t="n">
        <f aca="false">'SAM &amp; SOM'!B22</f>
        <v>8154000</v>
      </c>
      <c r="C151" s="21" t="n">
        <f aca="false">'SAM &amp; SOM'!C22</f>
        <v>17088000</v>
      </c>
      <c r="D151" s="21" t="n">
        <f aca="false">'SAM &amp; SOM'!D22</f>
        <v>36256000</v>
      </c>
      <c r="E151" s="7"/>
    </row>
    <row r="152" customFormat="false" ht="15" hidden="false" customHeight="false" outlineLevel="0" collapsed="false">
      <c r="A152" s="34" t="s">
        <v>353</v>
      </c>
      <c r="B152" s="21" t="n">
        <f aca="false">'SAM &amp; SOM'!B26</f>
        <v>156440.4271875</v>
      </c>
      <c r="C152" s="21" t="n">
        <f aca="false">'SAM &amp; SOM'!C26</f>
        <v>1711996.6275</v>
      </c>
      <c r="D152" s="21" t="n">
        <f aca="false">'SAM &amp; SOM'!D26</f>
        <v>11105351.5625</v>
      </c>
      <c r="E152" s="7"/>
    </row>
    <row r="153" customFormat="false" ht="15" hidden="false" customHeight="false" outlineLevel="0" collapsed="false">
      <c r="A153" s="34" t="s">
        <v>354</v>
      </c>
      <c r="B153" s="21" t="n">
        <f aca="false">'SAM &amp; SOM'!B35</f>
        <v>1233727.88</v>
      </c>
      <c r="C153" s="21" t="n">
        <f aca="false">'SAM &amp; SOM'!C35</f>
        <v>4415487.5</v>
      </c>
      <c r="D153" s="21" t="n">
        <f aca="false">'SAM &amp; SOM'!D35</f>
        <v>17365164</v>
      </c>
      <c r="E153" s="7"/>
    </row>
    <row r="154" customFormat="false" ht="15" hidden="false" customHeight="false" outlineLevel="0" collapsed="false">
      <c r="A154" s="34" t="s">
        <v>355</v>
      </c>
      <c r="B154" s="21" t="n">
        <f aca="false">'SAM &amp; SOM'!B39</f>
        <v>695084.15359375</v>
      </c>
      <c r="C154" s="21" t="n">
        <f aca="false">'SAM &amp; SOM'!C39</f>
        <v>3063742.06375</v>
      </c>
      <c r="D154" s="21" t="n">
        <f aca="false">'SAM &amp; SOM'!D39</f>
        <v>14235257.78125</v>
      </c>
      <c r="E154"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4" min="2" style="0" width="18"/>
    <col collapsed="false" customWidth="true" hidden="false" outlineLevel="0" max="5" min="5" style="0" width="90"/>
  </cols>
  <sheetData>
    <row r="1" customFormat="false" ht="16.15" hidden="false" customHeight="false" outlineLevel="0" collapsed="false">
      <c r="A1" s="6" t="s">
        <v>356</v>
      </c>
      <c r="B1" s="7"/>
      <c r="C1" s="7"/>
      <c r="D1" s="7"/>
      <c r="E1" s="7"/>
    </row>
    <row r="2" customFormat="false" ht="15" hidden="false" customHeight="false" outlineLevel="0" collapsed="false">
      <c r="A2" s="7"/>
      <c r="B2" s="7"/>
      <c r="C2" s="7"/>
      <c r="D2" s="7"/>
      <c r="E2" s="7"/>
    </row>
    <row r="3" customFormat="false" ht="15" hidden="false" customHeight="false" outlineLevel="0" collapsed="false">
      <c r="A3" s="8" t="s">
        <v>202</v>
      </c>
      <c r="B3" s="8" t="s">
        <v>16</v>
      </c>
      <c r="C3" s="8" t="s">
        <v>17</v>
      </c>
      <c r="D3" s="8" t="s">
        <v>18</v>
      </c>
      <c r="E3" s="8" t="s">
        <v>203</v>
      </c>
    </row>
    <row r="4" customFormat="false" ht="15" hidden="false" customHeight="false" outlineLevel="0" collapsed="false">
      <c r="A4" s="9" t="s">
        <v>357</v>
      </c>
      <c r="B4" s="10"/>
      <c r="C4" s="10"/>
      <c r="D4" s="10"/>
      <c r="E4" s="10"/>
    </row>
    <row r="5" customFormat="false" ht="15" hidden="false" customHeight="false" outlineLevel="0" collapsed="false">
      <c r="A5" s="34" t="s">
        <v>358</v>
      </c>
      <c r="B5" s="37" t="n">
        <f aca="false">'TAM Build'!B23*Assumptions!$B$75*Assumptions!$B$76</f>
        <v>959180.90625</v>
      </c>
      <c r="C5" s="37" t="n">
        <f aca="false">'TAM Build'!C23*Assumptions!$C$75*Assumptions!$C$76</f>
        <v>5189677.125</v>
      </c>
      <c r="D5" s="37" t="n">
        <f aca="false">'TAM Build'!D23*Assumptions!$D$75*Assumptions!$D$76</f>
        <v>20523515.625</v>
      </c>
      <c r="E5" s="2" t="s">
        <v>359</v>
      </c>
    </row>
    <row r="6" customFormat="false" ht="15" hidden="false" customHeight="false" outlineLevel="0" collapsed="false">
      <c r="A6" s="34" t="s">
        <v>360</v>
      </c>
      <c r="B6" s="37" t="n">
        <f aca="false">Assumptions!$B$77*Assumptions!$B$78</f>
        <v>1208000</v>
      </c>
      <c r="C6" s="37" t="n">
        <f aca="false">Assumptions!$C$77*Assumptions!$C$78</f>
        <v>6675000</v>
      </c>
      <c r="D6" s="37" t="n">
        <f aca="false">Assumptions!$D$77*Assumptions!$D$78</f>
        <v>24720000</v>
      </c>
      <c r="E6" s="2" t="s">
        <v>361</v>
      </c>
    </row>
    <row r="7" customFormat="false" ht="15" hidden="false" customHeight="false" outlineLevel="0" collapsed="false">
      <c r="A7" s="34" t="s">
        <v>362</v>
      </c>
      <c r="B7" s="37" t="n">
        <f aca="false">Assumptions!$B$77*Assumptions!$B$79</f>
        <v>1510000</v>
      </c>
      <c r="C7" s="37" t="n">
        <f aca="false">Assumptions!$C$77*Assumptions!$C$79</f>
        <v>6675000</v>
      </c>
      <c r="D7" s="37" t="n">
        <f aca="false">Assumptions!$D$77*Assumptions!$D$79</f>
        <v>20600000</v>
      </c>
      <c r="E7" s="2" t="s">
        <v>363</v>
      </c>
    </row>
    <row r="8" customFormat="false" ht="15" hidden="false" customHeight="false" outlineLevel="0" collapsed="false">
      <c r="A8" s="34" t="s">
        <v>364</v>
      </c>
      <c r="B8" s="37" t="n">
        <f aca="false">Assumptions!$B$80*Assumptions!$B$81*Assumptions!$B$82*Assumptions!$B$83</f>
        <v>937500</v>
      </c>
      <c r="C8" s="37" t="n">
        <f aca="false">Assumptions!$C$80*Assumptions!$C$81*Assumptions!$C$82*Assumptions!$C$83</f>
        <v>4593600</v>
      </c>
      <c r="D8" s="37" t="n">
        <f aca="false">Assumptions!$D$80*Assumptions!$D$81*Assumptions!$D$82*Assumptions!$D$83</f>
        <v>15210000</v>
      </c>
      <c r="E8" s="2" t="s">
        <v>365</v>
      </c>
    </row>
    <row r="9" customFormat="false" ht="15" hidden="false" customHeight="false" outlineLevel="0" collapsed="false">
      <c r="A9" s="34" t="s">
        <v>366</v>
      </c>
      <c r="B9" s="37" t="n">
        <f aca="false">Assumptions!$B$84*Assumptions!$B$57</f>
        <v>600000</v>
      </c>
      <c r="C9" s="37" t="n">
        <f aca="false">Assumptions!$C$84*Assumptions!$C$57</f>
        <v>5400000</v>
      </c>
      <c r="D9" s="37" t="n">
        <f aca="false">Assumptions!$D$84*Assumptions!$D$57</f>
        <v>30000000</v>
      </c>
      <c r="E9" s="2" t="s">
        <v>367</v>
      </c>
    </row>
    <row r="10" customFormat="false" ht="15" hidden="false" customHeight="false" outlineLevel="0" collapsed="false">
      <c r="A10" s="28" t="s">
        <v>368</v>
      </c>
      <c r="B10" s="29" t="n">
        <f aca="false">B5+B6+B7+B8+B9</f>
        <v>5214680.90625</v>
      </c>
      <c r="C10" s="29" t="n">
        <f aca="false">C5+C6+C7+C8+C9</f>
        <v>28533277.125</v>
      </c>
      <c r="D10" s="29" t="n">
        <f aca="false">D5+D6+D7+D8+D9</f>
        <v>111053515.625</v>
      </c>
      <c r="E10" s="30" t="s">
        <v>369</v>
      </c>
    </row>
    <row r="11" customFormat="false" ht="15" hidden="false" customHeight="false" outlineLevel="0" collapsed="false">
      <c r="A11" s="7"/>
      <c r="B11" s="7"/>
      <c r="C11" s="7"/>
      <c r="D11" s="7"/>
      <c r="E11" s="7"/>
    </row>
    <row r="12" customFormat="false" ht="15" hidden="false" customHeight="false" outlineLevel="0" collapsed="false">
      <c r="A12" s="9" t="s">
        <v>370</v>
      </c>
      <c r="B12" s="10"/>
      <c r="C12" s="10"/>
      <c r="D12" s="10"/>
      <c r="E12" s="10"/>
    </row>
    <row r="13" customFormat="false" ht="22.35" hidden="false" customHeight="false" outlineLevel="0" collapsed="false">
      <c r="A13" s="24" t="s">
        <v>371</v>
      </c>
      <c r="B13" s="39" t="n">
        <f aca="false">Assumptions!$B$86*Assumptions!$B$85*Assumptions!$B$87</f>
        <v>16456000</v>
      </c>
      <c r="C13" s="39" t="n">
        <f aca="false">Assumptions!$C$86*Assumptions!$C$85*Assumptions!$C$87</f>
        <v>26775000</v>
      </c>
      <c r="D13" s="39" t="n">
        <f aca="false">Assumptions!$D$86*Assumptions!$D$85*Assumptions!$D$87</f>
        <v>39100000</v>
      </c>
      <c r="E13" s="2" t="s">
        <v>372</v>
      </c>
    </row>
    <row r="14" customFormat="false" ht="22.35" hidden="false" customHeight="false" outlineLevel="0" collapsed="false">
      <c r="A14" s="28" t="s">
        <v>373</v>
      </c>
      <c r="B14" s="29" t="n">
        <f aca="false">B13*Assumptions!$B$88*Assumptions!$B$89</f>
        <v>4114000</v>
      </c>
      <c r="C14" s="29" t="n">
        <f aca="false">C13*Assumptions!$C$88*Assumptions!$C$89</f>
        <v>26775000</v>
      </c>
      <c r="D14" s="29" t="n">
        <f aca="false">D13*Assumptions!$D$88*Assumptions!$D$89</f>
        <v>108698000</v>
      </c>
      <c r="E14" s="30" t="s">
        <v>374</v>
      </c>
    </row>
    <row r="15" customFormat="false" ht="15" hidden="false" customHeight="false" outlineLevel="0" collapsed="false">
      <c r="A15" s="7"/>
      <c r="B15" s="7"/>
      <c r="C15" s="7"/>
      <c r="D15" s="7"/>
      <c r="E15" s="7"/>
    </row>
    <row r="16" customFormat="false" ht="15" hidden="false" customHeight="false" outlineLevel="0" collapsed="false">
      <c r="A16" s="31" t="s">
        <v>375</v>
      </c>
      <c r="B16" s="32" t="n">
        <f aca="false">B10+B14</f>
        <v>9328680.90625</v>
      </c>
      <c r="C16" s="32" t="n">
        <f aca="false">C10+C14</f>
        <v>55308277.125</v>
      </c>
      <c r="D16" s="32" t="n">
        <f aca="false">D10+D14</f>
        <v>219751515.625</v>
      </c>
      <c r="E16" s="33" t="s">
        <v>376</v>
      </c>
    </row>
    <row r="17" customFormat="false" ht="15" hidden="false" customHeight="false" outlineLevel="0" collapsed="false">
      <c r="A17" s="34" t="s">
        <v>377</v>
      </c>
      <c r="B17" s="22" t="n">
        <f aca="false">B16/'TAM Build'!B128</f>
        <v>0.0236531419167332</v>
      </c>
      <c r="C17" s="22" t="n">
        <f aca="false">C16/'TAM Build'!C128</f>
        <v>0.0617407356708695</v>
      </c>
      <c r="D17" s="22" t="n">
        <f aca="false">D16/'TAM Build'!D128</f>
        <v>0.123032206852245</v>
      </c>
      <c r="E17" s="2" t="s">
        <v>378</v>
      </c>
    </row>
    <row r="18" customFormat="false" ht="15" hidden="false" customHeight="false" outlineLevel="0" collapsed="false">
      <c r="A18" s="7"/>
      <c r="B18" s="7"/>
      <c r="C18" s="7"/>
      <c r="D18" s="7"/>
      <c r="E18" s="7"/>
    </row>
    <row r="19" customFormat="false" ht="15" hidden="false" customHeight="false" outlineLevel="0" collapsed="false">
      <c r="A19" s="9" t="s">
        <v>379</v>
      </c>
      <c r="B19" s="10"/>
      <c r="C19" s="10"/>
      <c r="D19" s="10"/>
      <c r="E19" s="10"/>
    </row>
    <row r="20" customFormat="false" ht="15" hidden="false" customHeight="false" outlineLevel="0" collapsed="false">
      <c r="A20" s="34" t="s">
        <v>380</v>
      </c>
      <c r="B20" s="37" t="n">
        <f aca="false">Assumptions!$B$77*Assumptions!$B$91*Assumptions!$B$92</f>
        <v>906000</v>
      </c>
      <c r="C20" s="37" t="n">
        <f aca="false">Assumptions!$C$77*Assumptions!$C$91*Assumptions!$C$92</f>
        <v>4272000</v>
      </c>
      <c r="D20" s="37" t="n">
        <f aca="false">Assumptions!$D$77*Assumptions!$D$91*Assumptions!$D$92</f>
        <v>16480000</v>
      </c>
      <c r="E20" s="2"/>
    </row>
    <row r="21" customFormat="false" ht="15" hidden="false" customHeight="false" outlineLevel="0" collapsed="false">
      <c r="A21" s="34" t="s">
        <v>381</v>
      </c>
      <c r="B21" s="37" t="n">
        <f aca="false">Assumptions!$B$77*Assumptions!$B$93</f>
        <v>7248000</v>
      </c>
      <c r="C21" s="37" t="n">
        <f aca="false">Assumptions!$C$77*Assumptions!$C$93</f>
        <v>12816000</v>
      </c>
      <c r="D21" s="37" t="n">
        <f aca="false">Assumptions!$D$77*Assumptions!$D$93</f>
        <v>19776000</v>
      </c>
      <c r="E21" s="2"/>
    </row>
    <row r="22" customFormat="false" ht="15" hidden="false" customHeight="false" outlineLevel="0" collapsed="false">
      <c r="A22" s="28" t="s">
        <v>382</v>
      </c>
      <c r="B22" s="29" t="n">
        <f aca="false">B20+B21</f>
        <v>8154000</v>
      </c>
      <c r="C22" s="29" t="n">
        <f aca="false">C20+C21</f>
        <v>17088000</v>
      </c>
      <c r="D22" s="29" t="n">
        <f aca="false">D20+D21</f>
        <v>36256000</v>
      </c>
      <c r="E22" s="30" t="s">
        <v>383</v>
      </c>
    </row>
    <row r="23" customFormat="false" ht="22.35" hidden="false" customHeight="false" outlineLevel="0" collapsed="false">
      <c r="A23" s="34" t="s">
        <v>384</v>
      </c>
      <c r="B23" s="40" t="n">
        <f aca="false">B22/(B5+B6+B7)</f>
        <v>2.21745957239713</v>
      </c>
      <c r="C23" s="40" t="n">
        <f aca="false">C22/(C5+C6+C7)</f>
        <v>0.921698899327515</v>
      </c>
      <c r="D23" s="40" t="n">
        <f aca="false">D22/(D5+D6+D7)</f>
        <v>0.550638884571255</v>
      </c>
      <c r="E23" s="2" t="s">
        <v>385</v>
      </c>
    </row>
    <row r="24" customFormat="false" ht="15" hidden="false" customHeight="false" outlineLevel="0" collapsed="false">
      <c r="A24" s="7"/>
      <c r="B24" s="7"/>
      <c r="C24" s="7"/>
      <c r="D24" s="7"/>
      <c r="E24" s="7"/>
    </row>
    <row r="25" customFormat="false" ht="15" hidden="false" customHeight="false" outlineLevel="0" collapsed="false">
      <c r="A25" s="9" t="s">
        <v>386</v>
      </c>
      <c r="B25" s="10"/>
      <c r="C25" s="10"/>
      <c r="D25" s="10"/>
      <c r="E25" s="10"/>
    </row>
    <row r="26" customFormat="false" ht="15" hidden="false" customHeight="false" outlineLevel="0" collapsed="false">
      <c r="A26" s="24" t="s">
        <v>387</v>
      </c>
      <c r="B26" s="25" t="n">
        <f aca="false">B10*Assumptions!$B$95</f>
        <v>156440.4271875</v>
      </c>
      <c r="C26" s="25" t="n">
        <f aca="false">C10*Assumptions!$C$95</f>
        <v>1711996.6275</v>
      </c>
      <c r="D26" s="25" t="n">
        <f aca="false">D10*Assumptions!$D$95</f>
        <v>11105351.5625</v>
      </c>
      <c r="E26" s="2" t="s">
        <v>388</v>
      </c>
    </row>
    <row r="27" customFormat="false" ht="15" hidden="false" customHeight="false" outlineLevel="0" collapsed="false">
      <c r="A27" s="7"/>
      <c r="B27" s="7"/>
      <c r="C27" s="7"/>
      <c r="D27" s="7"/>
      <c r="E27" s="7"/>
    </row>
    <row r="28" customFormat="false" ht="15" hidden="false" customHeight="false" outlineLevel="0" collapsed="false">
      <c r="A28" s="34" t="s">
        <v>389</v>
      </c>
      <c r="B28" s="37" t="n">
        <f aca="false">Assumptions!$B$96*Assumptions!$B$92</f>
        <v>360000</v>
      </c>
      <c r="C28" s="37" t="n">
        <f aca="false">Assumptions!$C$96*Assumptions!$C$92</f>
        <v>1600000</v>
      </c>
      <c r="D28" s="37" t="n">
        <f aca="false">Assumptions!$D$96*Assumptions!$D$92</f>
        <v>6000000</v>
      </c>
      <c r="E28" s="2"/>
    </row>
    <row r="29" customFormat="false" ht="15" hidden="false" customHeight="false" outlineLevel="0" collapsed="false">
      <c r="A29" s="34" t="s">
        <v>390</v>
      </c>
      <c r="B29" s="37" t="n">
        <f aca="false">Assumptions!$B$97*Assumptions!$B$93</f>
        <v>720000</v>
      </c>
      <c r="C29" s="37" t="n">
        <f aca="false">Assumptions!$C$97*Assumptions!$C$93</f>
        <v>1920000</v>
      </c>
      <c r="D29" s="37" t="n">
        <f aca="false">Assumptions!$D$97*Assumptions!$D$93</f>
        <v>4320000</v>
      </c>
      <c r="E29" s="2"/>
    </row>
    <row r="30" customFormat="false" ht="15" hidden="false" customHeight="false" outlineLevel="0" collapsed="false">
      <c r="A30" s="34" t="s">
        <v>391</v>
      </c>
      <c r="B30" s="37" t="n">
        <f aca="false">Assumptions!$B$98*Assumptions!$B$99</f>
        <v>90000</v>
      </c>
      <c r="C30" s="37" t="n">
        <f aca="false">Assumptions!$C$98*Assumptions!$C$99</f>
        <v>360000</v>
      </c>
      <c r="D30" s="37" t="n">
        <f aca="false">Assumptions!$D$98*Assumptions!$D$99</f>
        <v>1200000</v>
      </c>
      <c r="E30" s="2"/>
    </row>
    <row r="31" customFormat="false" ht="15" hidden="false" customHeight="false" outlineLevel="0" collapsed="false">
      <c r="A31" s="34" t="s">
        <v>392</v>
      </c>
      <c r="B31" s="37" t="n">
        <f aca="false">Assumptions!$B$100*Assumptions!$B$101</f>
        <v>60000</v>
      </c>
      <c r="C31" s="37" t="n">
        <f aca="false">Assumptions!$C$100*Assumptions!$C$101</f>
        <v>400000</v>
      </c>
      <c r="D31" s="37" t="n">
        <f aca="false">Assumptions!$D$100*Assumptions!$D$101</f>
        <v>2000000</v>
      </c>
      <c r="E31" s="2"/>
    </row>
    <row r="32" customFormat="false" ht="15" hidden="false" customHeight="false" outlineLevel="0" collapsed="false">
      <c r="A32" s="34" t="s">
        <v>393</v>
      </c>
      <c r="B32" s="37" t="n">
        <f aca="false">Assumptions!$B$102*Assumptions!$B$103</f>
        <v>2000</v>
      </c>
      <c r="C32" s="37" t="n">
        <f aca="false">Assumptions!$C$102*Assumptions!$C$103</f>
        <v>15000</v>
      </c>
      <c r="D32" s="37" t="n">
        <f aca="false">Assumptions!$D$102*Assumptions!$D$103</f>
        <v>90000</v>
      </c>
      <c r="E32" s="2"/>
    </row>
    <row r="33" customFormat="false" ht="15" hidden="false" customHeight="false" outlineLevel="0" collapsed="false">
      <c r="A33" s="34" t="s">
        <v>394</v>
      </c>
      <c r="B33" s="41" t="n">
        <f aca="false">B13*Assumptions!$B$104*Assumptions!$B$105</f>
        <v>24684</v>
      </c>
      <c r="C33" s="41" t="n">
        <f aca="false">C13*Assumptions!$C$104*Assumptions!$C$105</f>
        <v>200812.5</v>
      </c>
      <c r="D33" s="41" t="n">
        <f aca="false">D13*Assumptions!$D$104*Assumptions!$D$105</f>
        <v>1094800</v>
      </c>
      <c r="E33" s="2" t="s">
        <v>395</v>
      </c>
    </row>
    <row r="34" customFormat="false" ht="15" hidden="false" customHeight="false" outlineLevel="0" collapsed="false">
      <c r="A34" s="34" t="s">
        <v>396</v>
      </c>
      <c r="B34" s="37" t="n">
        <f aca="false">B33*Assumptions!$B$106</f>
        <v>1727.88</v>
      </c>
      <c r="C34" s="37" t="n">
        <f aca="false">C33*Assumptions!$C$106</f>
        <v>120487.5</v>
      </c>
      <c r="D34" s="37" t="n">
        <f aca="false">D33*Assumptions!$D$106</f>
        <v>3755164</v>
      </c>
      <c r="E34" s="2" t="s">
        <v>397</v>
      </c>
    </row>
    <row r="35" customFormat="false" ht="15" hidden="false" customHeight="false" outlineLevel="0" collapsed="false">
      <c r="A35" s="28" t="s">
        <v>398</v>
      </c>
      <c r="B35" s="29" t="n">
        <f aca="false">B28+B29+B30+B31+B32+B34</f>
        <v>1233727.88</v>
      </c>
      <c r="C35" s="29" t="n">
        <f aca="false">C28+C29+C30+C31+C32+C34</f>
        <v>4415487.5</v>
      </c>
      <c r="D35" s="29" t="n">
        <f aca="false">D28+D29+D30+D31+D32+D34</f>
        <v>17365164</v>
      </c>
      <c r="E35" s="30"/>
    </row>
    <row r="36" customFormat="false" ht="15" hidden="false" customHeight="false" outlineLevel="0" collapsed="false">
      <c r="A36" s="34" t="s">
        <v>399</v>
      </c>
      <c r="B36" s="37" t="n">
        <f aca="false">B33*Assumptions!$B$107</f>
        <v>21228.24</v>
      </c>
      <c r="C36" s="37" t="n">
        <f aca="false">C33*Assumptions!$C$107</f>
        <v>963900</v>
      </c>
      <c r="D36" s="37" t="n">
        <f aca="false">D33*Assumptions!$D$107</f>
        <v>17254048</v>
      </c>
      <c r="E36" s="2" t="s">
        <v>400</v>
      </c>
    </row>
    <row r="37" customFormat="false" ht="22.35" hidden="false" customHeight="false" outlineLevel="0" collapsed="false">
      <c r="A37" s="34" t="s">
        <v>401</v>
      </c>
      <c r="B37" s="40" t="n">
        <f aca="false">(B28+B29+B30+B31+B32)/B10</f>
        <v>0.236256066698808</v>
      </c>
      <c r="C37" s="40" t="n">
        <f aca="false">(C28+C29+C30+C31+C32)/C10</f>
        <v>0.150525997458485</v>
      </c>
      <c r="D37" s="40" t="n">
        <f aca="false">(D28+D29+D30+D31+D32)/D10</f>
        <v>0.12255352676954</v>
      </c>
      <c r="E37" s="2" t="s">
        <v>402</v>
      </c>
    </row>
    <row r="38" customFormat="false" ht="15" hidden="false" customHeight="false" outlineLevel="0" collapsed="false">
      <c r="A38" s="7"/>
      <c r="B38" s="7"/>
      <c r="C38" s="7"/>
      <c r="D38" s="7"/>
      <c r="E38" s="7"/>
    </row>
    <row r="39" customFormat="false" ht="15" hidden="false" customHeight="false" outlineLevel="0" collapsed="false">
      <c r="A39" s="31" t="s">
        <v>403</v>
      </c>
      <c r="B39" s="32" t="n">
        <f aca="false">(B26+B35)/2</f>
        <v>695084.15359375</v>
      </c>
      <c r="C39" s="32" t="n">
        <f aca="false">(C26+C35)/2</f>
        <v>3063742.06375</v>
      </c>
      <c r="D39" s="32" t="n">
        <f aca="false">(D26+D35)/2</f>
        <v>14235257.78125</v>
      </c>
      <c r="E39" s="33" t="s">
        <v>404</v>
      </c>
    </row>
    <row r="40" customFormat="false" ht="15" hidden="false" customHeight="false" outlineLevel="0" collapsed="false">
      <c r="A40" s="34" t="s">
        <v>405</v>
      </c>
      <c r="B40" s="40" t="n">
        <f aca="false">B39/B22</f>
        <v>0.0852445613924148</v>
      </c>
      <c r="C40" s="40" t="n">
        <f aca="false">C39/C22</f>
        <v>0.17929202152095</v>
      </c>
      <c r="D40" s="40" t="n">
        <f aca="false">D39/D22</f>
        <v>0.392631779050364</v>
      </c>
      <c r="E40" s="2" t="s">
        <v>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50"/>
    <col collapsed="false" customWidth="true" hidden="false" outlineLevel="0" max="4" min="4" style="0" width="22"/>
    <col collapsed="false" customWidth="true" hidden="false" outlineLevel="0" max="5" min="5" style="0" width="10"/>
    <col collapsed="false" customWidth="true" hidden="false" outlineLevel="0" max="6" min="6" style="0" width="14"/>
    <col collapsed="false" customWidth="true" hidden="false" outlineLevel="0" max="7" min="7" style="0" width="16"/>
  </cols>
  <sheetData>
    <row r="1" customFormat="false" ht="16.15" hidden="false" customHeight="false" outlineLevel="0" collapsed="false">
      <c r="A1" s="6" t="s">
        <v>407</v>
      </c>
      <c r="B1" s="7"/>
      <c r="C1" s="7"/>
      <c r="D1" s="7"/>
      <c r="E1" s="7"/>
      <c r="F1" s="7"/>
      <c r="G1" s="7"/>
    </row>
    <row r="2" customFormat="false" ht="53.7" hidden="false" customHeight="false" outlineLevel="0" collapsed="false">
      <c r="A2" s="2" t="s">
        <v>408</v>
      </c>
      <c r="B2" s="7"/>
      <c r="C2" s="7"/>
      <c r="D2" s="7"/>
      <c r="E2" s="7"/>
      <c r="F2" s="7"/>
      <c r="G2" s="7"/>
    </row>
    <row r="3" customFormat="false" ht="15" hidden="false" customHeight="false" outlineLevel="0" collapsed="false">
      <c r="A3" s="7"/>
      <c r="B3" s="7"/>
      <c r="C3" s="7"/>
      <c r="D3" s="7"/>
      <c r="E3" s="7"/>
      <c r="F3" s="7"/>
      <c r="G3" s="7"/>
    </row>
    <row r="4" customFormat="false" ht="15" hidden="false" customHeight="false" outlineLevel="0" collapsed="false">
      <c r="A4" s="24" t="s">
        <v>409</v>
      </c>
      <c r="B4" s="34" t="n">
        <f aca="false">COUNTA(A9:A308)</f>
        <v>1</v>
      </c>
      <c r="C4" s="7"/>
      <c r="D4" s="7"/>
      <c r="E4" s="7"/>
      <c r="F4" s="7"/>
      <c r="G4" s="7"/>
    </row>
    <row r="5" customFormat="false" ht="15" hidden="false" customHeight="false" outlineLevel="0" collapsed="false">
      <c r="A5" s="24" t="s">
        <v>410</v>
      </c>
      <c r="B5" s="37" t="n">
        <f aca="false">SUM(D9:D308)</f>
        <v>50000</v>
      </c>
      <c r="C5" s="7"/>
      <c r="D5" s="7"/>
      <c r="E5" s="7"/>
      <c r="F5" s="7"/>
      <c r="G5" s="7"/>
    </row>
    <row r="6" customFormat="false" ht="15" hidden="false" customHeight="false" outlineLevel="0" collapsed="false">
      <c r="A6" s="24" t="s">
        <v>411</v>
      </c>
      <c r="B6" s="40" t="n">
        <f aca="false">SUM(D9:D308)/('SAM &amp; SOM'!C5+'SAM &amp; SOM'!C6+'SAM &amp; SOM'!C7)</f>
        <v>0.00269691859587873</v>
      </c>
      <c r="C6" s="36" t="s">
        <v>412</v>
      </c>
      <c r="D6" s="7"/>
      <c r="E6" s="7"/>
      <c r="F6" s="7"/>
      <c r="G6" s="7"/>
    </row>
    <row r="7" customFormat="false" ht="15" hidden="false" customHeight="false" outlineLevel="0" collapsed="false">
      <c r="A7" s="7"/>
      <c r="B7" s="7"/>
      <c r="C7" s="7"/>
      <c r="D7" s="7"/>
      <c r="E7" s="7"/>
      <c r="F7" s="7"/>
      <c r="G7" s="7"/>
    </row>
    <row r="8" customFormat="false" ht="15" hidden="false" customHeight="false" outlineLevel="0" collapsed="false">
      <c r="A8" s="8" t="s">
        <v>413</v>
      </c>
      <c r="B8" s="8" t="s">
        <v>414</v>
      </c>
      <c r="C8" s="8" t="s">
        <v>415</v>
      </c>
      <c r="D8" s="8" t="s">
        <v>416</v>
      </c>
      <c r="E8" s="8" t="s">
        <v>417</v>
      </c>
      <c r="F8" s="8" t="s">
        <v>418</v>
      </c>
      <c r="G8" s="8" t="s">
        <v>419</v>
      </c>
    </row>
    <row r="9" customFormat="false" ht="15" hidden="false" customHeight="false" outlineLevel="0" collapsed="false">
      <c r="A9" s="42" t="s">
        <v>420</v>
      </c>
      <c r="B9" s="42" t="s">
        <v>421</v>
      </c>
      <c r="C9" s="42" t="s">
        <v>422</v>
      </c>
      <c r="D9" s="13" t="n">
        <v>50000</v>
      </c>
      <c r="E9" s="42" t="s">
        <v>423</v>
      </c>
      <c r="F9" s="42" t="s">
        <v>424</v>
      </c>
      <c r="G9" s="42" t="s">
        <v>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2"/>
    <col collapsed="false" customWidth="true" hidden="false" outlineLevel="0" max="9" min="4" style="0" width="16"/>
    <col collapsed="false" customWidth="true" hidden="false" outlineLevel="0" max="10" min="10" style="0" width="70"/>
  </cols>
  <sheetData>
    <row r="1" customFormat="false" ht="16.15" hidden="false" customHeight="false" outlineLevel="0" collapsed="false">
      <c r="A1" s="6" t="s">
        <v>426</v>
      </c>
      <c r="B1" s="7"/>
      <c r="C1" s="7"/>
      <c r="D1" s="7"/>
      <c r="E1" s="7"/>
      <c r="F1" s="7"/>
      <c r="G1" s="7"/>
      <c r="H1" s="7"/>
      <c r="I1" s="7"/>
      <c r="J1" s="7"/>
    </row>
    <row r="2" customFormat="false" ht="63.75" hidden="false" customHeight="true" outlineLevel="0" collapsed="false">
      <c r="A2" s="2" t="s">
        <v>427</v>
      </c>
      <c r="B2" s="7"/>
      <c r="C2" s="7"/>
      <c r="D2" s="7"/>
      <c r="E2" s="7"/>
      <c r="F2" s="7"/>
      <c r="G2" s="7"/>
      <c r="H2" s="7"/>
      <c r="I2" s="7"/>
      <c r="J2" s="7"/>
    </row>
    <row r="3" customFormat="false" ht="15" hidden="false" customHeight="false" outlineLevel="0" collapsed="false">
      <c r="A3" s="7"/>
      <c r="B3" s="7"/>
      <c r="C3" s="7"/>
      <c r="D3" s="7"/>
      <c r="E3" s="7"/>
      <c r="F3" s="7"/>
      <c r="G3" s="7"/>
      <c r="H3" s="7"/>
      <c r="I3" s="7"/>
      <c r="J3" s="7"/>
    </row>
    <row r="4" customFormat="false" ht="15" hidden="false" customHeight="false" outlineLevel="0" collapsed="false">
      <c r="A4" s="9" t="s">
        <v>428</v>
      </c>
      <c r="B4" s="10"/>
      <c r="C4" s="10"/>
      <c r="D4" s="10"/>
      <c r="E4" s="10"/>
      <c r="F4" s="10"/>
      <c r="G4" s="10"/>
      <c r="H4" s="10"/>
      <c r="I4" s="10"/>
      <c r="J4" s="10"/>
    </row>
    <row r="5" customFormat="false" ht="15" hidden="false" customHeight="false" outlineLevel="0" collapsed="false">
      <c r="A5" s="8" t="s">
        <v>429</v>
      </c>
      <c r="B5" s="8" t="s">
        <v>430</v>
      </c>
      <c r="C5" s="8" t="s">
        <v>431</v>
      </c>
      <c r="D5" s="8" t="s">
        <v>432</v>
      </c>
      <c r="E5" s="8" t="s">
        <v>433</v>
      </c>
      <c r="F5" s="8" t="s">
        <v>434</v>
      </c>
      <c r="G5" s="8" t="s">
        <v>435</v>
      </c>
      <c r="H5" s="8" t="s">
        <v>436</v>
      </c>
      <c r="I5" s="8" t="s">
        <v>437</v>
      </c>
      <c r="J5" s="8" t="s">
        <v>438</v>
      </c>
    </row>
    <row r="6" customFormat="false" ht="22.35" hidden="false" customHeight="false" outlineLevel="0" collapsed="false">
      <c r="A6" s="34" t="s">
        <v>439</v>
      </c>
      <c r="B6" s="43" t="n">
        <v>0.3615</v>
      </c>
      <c r="C6" s="43" t="n">
        <v>0.4509</v>
      </c>
      <c r="D6" s="37" t="n">
        <f aca="false">$B6*'TAM Build'!B$96</f>
        <v>56504257.5</v>
      </c>
      <c r="E6" s="37" t="n">
        <f aca="false">$B6*'TAM Build'!C$96</f>
        <v>161798362.5</v>
      </c>
      <c r="F6" s="37" t="n">
        <f aca="false">$B6*'TAM Build'!D$96</f>
        <v>457290270</v>
      </c>
      <c r="G6" s="37" t="n">
        <f aca="false">$C6*'TAM Build'!B$112</f>
        <v>107354781</v>
      </c>
      <c r="H6" s="37" t="n">
        <f aca="false">$C6*'TAM Build'!C$112</f>
        <v>202111416</v>
      </c>
      <c r="I6" s="37" t="n">
        <f aca="false">$C6*'TAM Build'!D$112</f>
        <v>234986535</v>
      </c>
      <c r="J6" s="2" t="s">
        <v>440</v>
      </c>
    </row>
    <row r="7" customFormat="false" ht="32.8" hidden="false" customHeight="false" outlineLevel="0" collapsed="false">
      <c r="A7" s="34" t="s">
        <v>441</v>
      </c>
      <c r="B7" s="43" t="n">
        <v>0.0834</v>
      </c>
      <c r="C7" s="43" t="n">
        <v>0.0752</v>
      </c>
      <c r="D7" s="37" t="n">
        <f aca="false">$B7*'TAM Build'!B$96</f>
        <v>13035837</v>
      </c>
      <c r="E7" s="37" t="n">
        <f aca="false">$B7*'TAM Build'!C$96</f>
        <v>37327755</v>
      </c>
      <c r="F7" s="37" t="n">
        <f aca="false">$B7*'TAM Build'!D$96</f>
        <v>105499332</v>
      </c>
      <c r="G7" s="37" t="n">
        <f aca="false">$C7*'TAM Build'!B$112</f>
        <v>17904368</v>
      </c>
      <c r="H7" s="37" t="n">
        <f aca="false">$C7*'TAM Build'!C$112</f>
        <v>33707648</v>
      </c>
      <c r="I7" s="37" t="n">
        <f aca="false">$C7*'TAM Build'!D$112</f>
        <v>39190480</v>
      </c>
      <c r="J7" s="2" t="s">
        <v>442</v>
      </c>
    </row>
    <row r="8" customFormat="false" ht="15" hidden="false" customHeight="false" outlineLevel="0" collapsed="false">
      <c r="A8" s="34" t="s">
        <v>443</v>
      </c>
      <c r="B8" s="43" t="n">
        <v>0.0553</v>
      </c>
      <c r="C8" s="43" t="n">
        <v>0.0425</v>
      </c>
      <c r="D8" s="37" t="n">
        <f aca="false">$B8*'TAM Build'!B$96</f>
        <v>8643666.5</v>
      </c>
      <c r="E8" s="37" t="n">
        <f aca="false">$B8*'TAM Build'!C$96</f>
        <v>24750897.5</v>
      </c>
      <c r="F8" s="37" t="n">
        <f aca="false">$B8*'TAM Build'!D$96</f>
        <v>69953394</v>
      </c>
      <c r="G8" s="37" t="n">
        <f aca="false">$C8*'TAM Build'!B$112</f>
        <v>10118825</v>
      </c>
      <c r="H8" s="37" t="n">
        <f aca="false">$C8*'TAM Build'!C$112</f>
        <v>19050200</v>
      </c>
      <c r="I8" s="37" t="n">
        <f aca="false">$C8*'TAM Build'!D$112</f>
        <v>22148875</v>
      </c>
      <c r="J8" s="2" t="s">
        <v>444</v>
      </c>
    </row>
    <row r="9" customFormat="false" ht="22.35" hidden="false" customHeight="false" outlineLevel="0" collapsed="false">
      <c r="A9" s="34" t="s">
        <v>445</v>
      </c>
      <c r="B9" s="43" t="n">
        <v>0.0864</v>
      </c>
      <c r="C9" s="43" t="n">
        <v>0.0209</v>
      </c>
      <c r="D9" s="37" t="n">
        <f aca="false">$B9*'TAM Build'!B$96</f>
        <v>13504752</v>
      </c>
      <c r="E9" s="37" t="n">
        <f aca="false">$B9*'TAM Build'!C$96</f>
        <v>38670480</v>
      </c>
      <c r="F9" s="37" t="n">
        <f aca="false">$B9*'TAM Build'!D$96</f>
        <v>109294272</v>
      </c>
      <c r="G9" s="37" t="n">
        <f aca="false">$C9*'TAM Build'!B$112</f>
        <v>4976081</v>
      </c>
      <c r="H9" s="37" t="n">
        <f aca="false">$C9*'TAM Build'!C$112</f>
        <v>9368216</v>
      </c>
      <c r="I9" s="37" t="n">
        <f aca="false">$C9*'TAM Build'!D$112</f>
        <v>10892035</v>
      </c>
      <c r="J9" s="2" t="s">
        <v>446</v>
      </c>
    </row>
    <row r="10" customFormat="false" ht="22.35" hidden="false" customHeight="false" outlineLevel="0" collapsed="false">
      <c r="A10" s="34" t="s">
        <v>447</v>
      </c>
      <c r="B10" s="43" t="n">
        <v>0.05</v>
      </c>
      <c r="C10" s="43" t="n">
        <v>0.0669</v>
      </c>
      <c r="D10" s="37" t="n">
        <f aca="false">$B10*'TAM Build'!B$96</f>
        <v>7815250</v>
      </c>
      <c r="E10" s="37" t="n">
        <f aca="false">$B10*'TAM Build'!C$96</f>
        <v>22378750</v>
      </c>
      <c r="F10" s="37" t="n">
        <f aca="false">$B10*'TAM Build'!D$96</f>
        <v>63249000</v>
      </c>
      <c r="G10" s="37" t="n">
        <f aca="false">$C10*'TAM Build'!B$112</f>
        <v>15928221</v>
      </c>
      <c r="H10" s="37" t="n">
        <f aca="false">$C10*'TAM Build'!C$112</f>
        <v>29987256</v>
      </c>
      <c r="I10" s="37" t="n">
        <f aca="false">$C10*'TAM Build'!D$112</f>
        <v>34864935</v>
      </c>
      <c r="J10" s="2" t="s">
        <v>448</v>
      </c>
    </row>
    <row r="11" customFormat="false" ht="15" hidden="false" customHeight="false" outlineLevel="0" collapsed="false">
      <c r="A11" s="34" t="s">
        <v>449</v>
      </c>
      <c r="B11" s="43" t="n">
        <v>0.0322</v>
      </c>
      <c r="C11" s="43" t="n">
        <v>0.0444</v>
      </c>
      <c r="D11" s="37" t="n">
        <f aca="false">$B11*'TAM Build'!B$96</f>
        <v>5033021</v>
      </c>
      <c r="E11" s="37" t="n">
        <f aca="false">$B11*'TAM Build'!C$96</f>
        <v>14411915</v>
      </c>
      <c r="F11" s="37" t="n">
        <f aca="false">$B11*'TAM Build'!D$96</f>
        <v>40732356</v>
      </c>
      <c r="G11" s="37" t="n">
        <f aca="false">$C11*'TAM Build'!B$112</f>
        <v>10571196</v>
      </c>
      <c r="H11" s="37" t="n">
        <f aca="false">$C11*'TAM Build'!C$112</f>
        <v>19901856</v>
      </c>
      <c r="I11" s="37" t="n">
        <f aca="false">$C11*'TAM Build'!D$112</f>
        <v>23139060</v>
      </c>
      <c r="J11" s="2" t="s">
        <v>450</v>
      </c>
    </row>
    <row r="12" customFormat="false" ht="22.35" hidden="false" customHeight="false" outlineLevel="0" collapsed="false">
      <c r="A12" s="34" t="s">
        <v>451</v>
      </c>
      <c r="B12" s="43" t="n">
        <v>0.0365</v>
      </c>
      <c r="C12" s="43" t="n">
        <v>0.0354</v>
      </c>
      <c r="D12" s="37" t="n">
        <f aca="false">$B12*'TAM Build'!B$96</f>
        <v>5705132.5</v>
      </c>
      <c r="E12" s="37" t="n">
        <f aca="false">$B12*'TAM Build'!C$96</f>
        <v>16336487.5</v>
      </c>
      <c r="F12" s="37" t="n">
        <f aca="false">$B12*'TAM Build'!D$96</f>
        <v>46171770</v>
      </c>
      <c r="G12" s="37" t="n">
        <f aca="false">$C12*'TAM Build'!B$112</f>
        <v>8428386</v>
      </c>
      <c r="H12" s="37" t="n">
        <f aca="false">$C12*'TAM Build'!C$112</f>
        <v>15867696</v>
      </c>
      <c r="I12" s="37" t="n">
        <f aca="false">$C12*'TAM Build'!D$112</f>
        <v>18448710</v>
      </c>
      <c r="J12" s="2" t="s">
        <v>452</v>
      </c>
    </row>
    <row r="13" customFormat="false" ht="15" hidden="false" customHeight="false" outlineLevel="0" collapsed="false">
      <c r="A13" s="34" t="s">
        <v>453</v>
      </c>
      <c r="B13" s="43" t="n">
        <v>0.0152</v>
      </c>
      <c r="C13" s="43" t="n">
        <v>0.0153</v>
      </c>
      <c r="D13" s="37" t="n">
        <f aca="false">$B13*'TAM Build'!B$96</f>
        <v>2375836</v>
      </c>
      <c r="E13" s="37" t="n">
        <f aca="false">$B13*'TAM Build'!C$96</f>
        <v>6803140</v>
      </c>
      <c r="F13" s="37" t="n">
        <f aca="false">$B13*'TAM Build'!D$96</f>
        <v>19227696</v>
      </c>
      <c r="G13" s="37" t="n">
        <f aca="false">$C13*'TAM Build'!B$112</f>
        <v>3642777</v>
      </c>
      <c r="H13" s="37" t="n">
        <f aca="false">$C13*'TAM Build'!C$112</f>
        <v>6858072</v>
      </c>
      <c r="I13" s="37" t="n">
        <f aca="false">$C13*'TAM Build'!D$112</f>
        <v>7973595</v>
      </c>
      <c r="J13" s="2" t="s">
        <v>454</v>
      </c>
    </row>
    <row r="14" customFormat="false" ht="22.35" hidden="false" customHeight="false" outlineLevel="0" collapsed="false">
      <c r="A14" s="34" t="s">
        <v>455</v>
      </c>
      <c r="B14" s="43" t="n">
        <v>0.0239</v>
      </c>
      <c r="C14" s="43" t="n">
        <v>0.02</v>
      </c>
      <c r="D14" s="37" t="n">
        <f aca="false">$B14*'TAM Build'!B$96</f>
        <v>3735689.5</v>
      </c>
      <c r="E14" s="37" t="n">
        <f aca="false">$B14*'TAM Build'!C$96</f>
        <v>10697042.5</v>
      </c>
      <c r="F14" s="37" t="n">
        <f aca="false">$B14*'TAM Build'!D$96</f>
        <v>30233022</v>
      </c>
      <c r="G14" s="37" t="n">
        <f aca="false">$C14*'TAM Build'!B$112</f>
        <v>4761800</v>
      </c>
      <c r="H14" s="37" t="n">
        <f aca="false">$C14*'TAM Build'!C$112</f>
        <v>8964800</v>
      </c>
      <c r="I14" s="37" t="n">
        <f aca="false">$C14*'TAM Build'!D$112</f>
        <v>10423000</v>
      </c>
      <c r="J14" s="2" t="s">
        <v>456</v>
      </c>
    </row>
    <row r="15" customFormat="false" ht="15" hidden="false" customHeight="false" outlineLevel="0" collapsed="false">
      <c r="A15" s="34" t="s">
        <v>457</v>
      </c>
      <c r="B15" s="43" t="n">
        <v>0.0128</v>
      </c>
      <c r="C15" s="43" t="n">
        <v>0.0308</v>
      </c>
      <c r="D15" s="37" t="n">
        <f aca="false">$B15*'TAM Build'!B$96</f>
        <v>2000704</v>
      </c>
      <c r="E15" s="37" t="n">
        <f aca="false">$B15*'TAM Build'!C$96</f>
        <v>5728960</v>
      </c>
      <c r="F15" s="37" t="n">
        <f aca="false">$B15*'TAM Build'!D$96</f>
        <v>16191744</v>
      </c>
      <c r="G15" s="37" t="n">
        <f aca="false">$C15*'TAM Build'!B$112</f>
        <v>7333172</v>
      </c>
      <c r="H15" s="37" t="n">
        <f aca="false">$C15*'TAM Build'!C$112</f>
        <v>13805792</v>
      </c>
      <c r="I15" s="37" t="n">
        <f aca="false">$C15*'TAM Build'!D$112</f>
        <v>16051420</v>
      </c>
      <c r="J15" s="2" t="s">
        <v>458</v>
      </c>
    </row>
    <row r="16" customFormat="false" ht="15" hidden="false" customHeight="false" outlineLevel="0" collapsed="false">
      <c r="A16" s="34" t="s">
        <v>459</v>
      </c>
      <c r="B16" s="43" t="n">
        <v>0.0256</v>
      </c>
      <c r="C16" s="43" t="n">
        <v>0.019</v>
      </c>
      <c r="D16" s="37" t="n">
        <f aca="false">$B16*'TAM Build'!B$96</f>
        <v>4001408</v>
      </c>
      <c r="E16" s="37" t="n">
        <f aca="false">$B16*'TAM Build'!C$96</f>
        <v>11457920</v>
      </c>
      <c r="F16" s="37" t="n">
        <f aca="false">$B16*'TAM Build'!D$96</f>
        <v>32383488</v>
      </c>
      <c r="G16" s="37" t="n">
        <f aca="false">$C16*'TAM Build'!B$112</f>
        <v>4523710</v>
      </c>
      <c r="H16" s="37" t="n">
        <f aca="false">$C16*'TAM Build'!C$112</f>
        <v>8516560</v>
      </c>
      <c r="I16" s="37" t="n">
        <f aca="false">$C16*'TAM Build'!D$112</f>
        <v>9901850</v>
      </c>
      <c r="J16" s="2" t="s">
        <v>460</v>
      </c>
    </row>
    <row r="17" customFormat="false" ht="15" hidden="false" customHeight="false" outlineLevel="0" collapsed="false">
      <c r="A17" s="34" t="s">
        <v>461</v>
      </c>
      <c r="B17" s="43" t="n">
        <v>0.0213</v>
      </c>
      <c r="C17" s="43" t="n">
        <v>0.0174</v>
      </c>
      <c r="D17" s="37" t="n">
        <f aca="false">$B17*'TAM Build'!B$96</f>
        <v>3329296.5</v>
      </c>
      <c r="E17" s="37" t="n">
        <f aca="false">$B17*'TAM Build'!C$96</f>
        <v>9533347.5</v>
      </c>
      <c r="F17" s="37" t="n">
        <f aca="false">$B17*'TAM Build'!D$96</f>
        <v>26944074</v>
      </c>
      <c r="G17" s="37" t="n">
        <f aca="false">$C17*'TAM Build'!B$112</f>
        <v>4142766</v>
      </c>
      <c r="H17" s="37" t="n">
        <f aca="false">$C17*'TAM Build'!C$112</f>
        <v>7799376</v>
      </c>
      <c r="I17" s="37" t="n">
        <f aca="false">$C17*'TAM Build'!D$112</f>
        <v>9068010</v>
      </c>
      <c r="J17" s="2" t="s">
        <v>462</v>
      </c>
    </row>
    <row r="18" customFormat="false" ht="15" hidden="false" customHeight="false" outlineLevel="0" collapsed="false">
      <c r="A18" s="34" t="s">
        <v>463</v>
      </c>
      <c r="B18" s="43" t="n">
        <v>0.0164</v>
      </c>
      <c r="C18" s="43" t="n">
        <v>0.0084</v>
      </c>
      <c r="D18" s="37" t="n">
        <f aca="false">$B18*'TAM Build'!B$96</f>
        <v>2563402</v>
      </c>
      <c r="E18" s="37" t="n">
        <f aca="false">$B18*'TAM Build'!C$96</f>
        <v>7340230</v>
      </c>
      <c r="F18" s="37" t="n">
        <f aca="false">$B18*'TAM Build'!D$96</f>
        <v>20745672</v>
      </c>
      <c r="G18" s="37" t="n">
        <f aca="false">$C18*'TAM Build'!B$112</f>
        <v>1999956</v>
      </c>
      <c r="H18" s="37" t="n">
        <f aca="false">$C18*'TAM Build'!C$112</f>
        <v>3765216</v>
      </c>
      <c r="I18" s="37" t="n">
        <f aca="false">$C18*'TAM Build'!D$112</f>
        <v>4377660</v>
      </c>
      <c r="J18" s="2" t="s">
        <v>464</v>
      </c>
    </row>
    <row r="19" customFormat="false" ht="22.35" hidden="false" customHeight="false" outlineLevel="0" collapsed="false">
      <c r="A19" s="34" t="s">
        <v>465</v>
      </c>
      <c r="B19" s="43" t="n">
        <v>0.0076</v>
      </c>
      <c r="C19" s="43" t="n">
        <v>0.0043</v>
      </c>
      <c r="D19" s="37" t="n">
        <f aca="false">$B19*'TAM Build'!B$96</f>
        <v>1187918</v>
      </c>
      <c r="E19" s="37" t="n">
        <f aca="false">$B19*'TAM Build'!C$96</f>
        <v>3401570</v>
      </c>
      <c r="F19" s="37" t="n">
        <f aca="false">$B19*'TAM Build'!D$96</f>
        <v>9613848</v>
      </c>
      <c r="G19" s="37" t="n">
        <f aca="false">$C19*'TAM Build'!B$112</f>
        <v>1023787</v>
      </c>
      <c r="H19" s="37" t="n">
        <f aca="false">$C19*'TAM Build'!C$112</f>
        <v>1927432</v>
      </c>
      <c r="I19" s="37" t="n">
        <f aca="false">$C19*'TAM Build'!D$112</f>
        <v>2240945</v>
      </c>
      <c r="J19" s="2" t="s">
        <v>466</v>
      </c>
    </row>
    <row r="20" customFormat="false" ht="15" hidden="false" customHeight="false" outlineLevel="0" collapsed="false">
      <c r="A20" s="34" t="s">
        <v>467</v>
      </c>
      <c r="B20" s="43" t="n">
        <v>0.0035</v>
      </c>
      <c r="C20" s="43" t="n">
        <v>0.0042</v>
      </c>
      <c r="D20" s="37" t="n">
        <f aca="false">$B20*'TAM Build'!B$96</f>
        <v>547067.5</v>
      </c>
      <c r="E20" s="37" t="n">
        <f aca="false">$B20*'TAM Build'!C$96</f>
        <v>1566512.5</v>
      </c>
      <c r="F20" s="37" t="n">
        <f aca="false">$B20*'TAM Build'!D$96</f>
        <v>4427430</v>
      </c>
      <c r="G20" s="37" t="n">
        <f aca="false">$C20*'TAM Build'!B$112</f>
        <v>999978</v>
      </c>
      <c r="H20" s="37" t="n">
        <f aca="false">$C20*'TAM Build'!C$112</f>
        <v>1882608</v>
      </c>
      <c r="I20" s="37" t="n">
        <f aca="false">$C20*'TAM Build'!D$112</f>
        <v>2188830</v>
      </c>
      <c r="J20" s="2" t="s">
        <v>468</v>
      </c>
    </row>
    <row r="21" customFormat="false" ht="22.35" hidden="false" customHeight="false" outlineLevel="0" collapsed="false">
      <c r="A21" s="34" t="s">
        <v>469</v>
      </c>
      <c r="B21" s="43" t="n">
        <v>0.1684</v>
      </c>
      <c r="C21" s="43" t="n">
        <v>0.1444</v>
      </c>
      <c r="D21" s="37" t="n">
        <f aca="false">$B21*'TAM Build'!B$96</f>
        <v>26321762</v>
      </c>
      <c r="E21" s="37" t="n">
        <f aca="false">$B21*'TAM Build'!C$96</f>
        <v>75371630</v>
      </c>
      <c r="F21" s="37" t="n">
        <f aca="false">$B21*'TAM Build'!D$96</f>
        <v>213022632</v>
      </c>
      <c r="G21" s="37" t="n">
        <f aca="false">$C21*'TAM Build'!B$112</f>
        <v>34380196</v>
      </c>
      <c r="H21" s="37" t="n">
        <f aca="false">$C21*'TAM Build'!C$112</f>
        <v>64725856</v>
      </c>
      <c r="I21" s="37" t="n">
        <f aca="false">$C21*'TAM Build'!D$112</f>
        <v>75254060</v>
      </c>
      <c r="J21" s="2" t="s">
        <v>470</v>
      </c>
    </row>
    <row r="22" customFormat="false" ht="15" hidden="false" customHeight="false" outlineLevel="0" collapsed="false">
      <c r="A22" s="28" t="s">
        <v>471</v>
      </c>
      <c r="B22" s="44" t="n">
        <f aca="false">SUM(B6:B21)</f>
        <v>1</v>
      </c>
      <c r="C22" s="44" t="n">
        <f aca="false">SUM(C6:C21)</f>
        <v>1</v>
      </c>
      <c r="D22" s="29" t="n">
        <f aca="false">SUM(D6:D21)</f>
        <v>156305000</v>
      </c>
      <c r="E22" s="29" t="n">
        <f aca="false">SUM(E6:E21)</f>
        <v>447575000</v>
      </c>
      <c r="F22" s="29" t="n">
        <f aca="false">SUM(F6:F21)</f>
        <v>1264980000</v>
      </c>
      <c r="G22" s="29" t="n">
        <f aca="false">SUM(G6:G21)</f>
        <v>238090000</v>
      </c>
      <c r="H22" s="29" t="n">
        <f aca="false">SUM(H6:H21)</f>
        <v>448240000</v>
      </c>
      <c r="I22" s="29" t="n">
        <f aca="false">SUM(I6:I21)</f>
        <v>521150000</v>
      </c>
      <c r="J22" s="38"/>
    </row>
    <row r="23" customFormat="false" ht="15" hidden="false" customHeight="false" outlineLevel="0" collapsed="false">
      <c r="A23" s="7"/>
      <c r="B23" s="7"/>
      <c r="C23" s="7"/>
      <c r="D23" s="7"/>
      <c r="E23" s="7"/>
      <c r="F23" s="7"/>
      <c r="G23" s="7"/>
      <c r="H23" s="7"/>
      <c r="I23" s="7"/>
      <c r="J23" s="7"/>
    </row>
    <row r="24" customFormat="false" ht="15" hidden="false" customHeight="false" outlineLevel="0" collapsed="false">
      <c r="A24" s="9" t="s">
        <v>472</v>
      </c>
      <c r="B24" s="10"/>
      <c r="C24" s="10"/>
      <c r="D24" s="10"/>
      <c r="E24" s="10"/>
      <c r="F24" s="10"/>
      <c r="G24" s="10"/>
      <c r="H24" s="10"/>
      <c r="I24" s="10"/>
      <c r="J24" s="10"/>
    </row>
    <row r="25" customFormat="false" ht="15" hidden="false" customHeight="false" outlineLevel="0" collapsed="false">
      <c r="A25" s="8" t="s">
        <v>429</v>
      </c>
      <c r="B25" s="8" t="s">
        <v>430</v>
      </c>
      <c r="C25" s="8" t="s">
        <v>431</v>
      </c>
      <c r="D25" s="8" t="s">
        <v>432</v>
      </c>
      <c r="E25" s="8" t="s">
        <v>433</v>
      </c>
      <c r="F25" s="8" t="s">
        <v>434</v>
      </c>
      <c r="G25" s="8" t="s">
        <v>435</v>
      </c>
      <c r="H25" s="8" t="s">
        <v>436</v>
      </c>
      <c r="I25" s="8" t="s">
        <v>437</v>
      </c>
      <c r="J25" s="8" t="s">
        <v>438</v>
      </c>
    </row>
    <row r="26" customFormat="false" ht="32.8" hidden="false" customHeight="false" outlineLevel="0" collapsed="false">
      <c r="A26" s="34" t="s">
        <v>473</v>
      </c>
      <c r="B26" s="43" t="n">
        <v>0.1311</v>
      </c>
      <c r="C26" s="43" t="n">
        <v>0.052</v>
      </c>
      <c r="D26" s="37" t="n">
        <f aca="false">$B26*'SAM &amp; SOM'!B$10</f>
        <v>683644.666809375</v>
      </c>
      <c r="E26" s="37" t="n">
        <f aca="false">$B26*'SAM &amp; SOM'!C$10</f>
        <v>3740712.6310875</v>
      </c>
      <c r="F26" s="37" t="n">
        <f aca="false">$B26*'SAM &amp; SOM'!D$10</f>
        <v>14559115.8984375</v>
      </c>
      <c r="G26" s="37" t="n">
        <f aca="false">$C26*'SAM &amp; SOM'!B$14</f>
        <v>213928</v>
      </c>
      <c r="H26" s="37" t="n">
        <f aca="false">$C26*'SAM &amp; SOM'!C$14</f>
        <v>1392300</v>
      </c>
      <c r="I26" s="37" t="n">
        <f aca="false">$C26*'SAM &amp; SOM'!D$14</f>
        <v>5652296</v>
      </c>
      <c r="J26" s="2" t="s">
        <v>474</v>
      </c>
    </row>
    <row r="27" customFormat="false" ht="32.8" hidden="false" customHeight="false" outlineLevel="0" collapsed="false">
      <c r="A27" s="34" t="s">
        <v>475</v>
      </c>
      <c r="B27" s="43" t="n">
        <v>0.4259</v>
      </c>
      <c r="C27" s="43" t="n">
        <v>0.0457</v>
      </c>
      <c r="D27" s="37" t="n">
        <f aca="false">$B27*'SAM &amp; SOM'!B$10</f>
        <v>2220932.59797188</v>
      </c>
      <c r="E27" s="37" t="n">
        <f aca="false">$B27*'SAM &amp; SOM'!C$10</f>
        <v>12152322.7275375</v>
      </c>
      <c r="F27" s="37" t="n">
        <f aca="false">$B27*'SAM &amp; SOM'!D$10</f>
        <v>47297692.3046875</v>
      </c>
      <c r="G27" s="37" t="n">
        <f aca="false">$C27*'SAM &amp; SOM'!B$14</f>
        <v>188009.8</v>
      </c>
      <c r="H27" s="37" t="n">
        <f aca="false">$C27*'SAM &amp; SOM'!C$14</f>
        <v>1223617.5</v>
      </c>
      <c r="I27" s="37" t="n">
        <f aca="false">$C27*'SAM &amp; SOM'!D$14</f>
        <v>4967498.6</v>
      </c>
      <c r="J27" s="2" t="s">
        <v>476</v>
      </c>
    </row>
    <row r="28" customFormat="false" ht="15" hidden="false" customHeight="false" outlineLevel="0" collapsed="false">
      <c r="A28" s="34" t="s">
        <v>477</v>
      </c>
      <c r="B28" s="43" t="n">
        <v>0.0164</v>
      </c>
      <c r="C28" s="43" t="n">
        <v>0.025</v>
      </c>
      <c r="D28" s="37" t="n">
        <f aca="false">$B28*'SAM &amp; SOM'!B$10</f>
        <v>85520.7668625</v>
      </c>
      <c r="E28" s="37" t="n">
        <f aca="false">$B28*'SAM &amp; SOM'!C$10</f>
        <v>467945.74485</v>
      </c>
      <c r="F28" s="37" t="n">
        <f aca="false">$B28*'SAM &amp; SOM'!D$10</f>
        <v>1821277.65625</v>
      </c>
      <c r="G28" s="37" t="n">
        <f aca="false">$C28*'SAM &amp; SOM'!B$14</f>
        <v>102850</v>
      </c>
      <c r="H28" s="37" t="n">
        <f aca="false">$C28*'SAM &amp; SOM'!C$14</f>
        <v>669375</v>
      </c>
      <c r="I28" s="37" t="n">
        <f aca="false">$C28*'SAM &amp; SOM'!D$14</f>
        <v>2717450</v>
      </c>
      <c r="J28" s="2" t="s">
        <v>478</v>
      </c>
    </row>
    <row r="29" customFormat="false" ht="15" hidden="false" customHeight="false" outlineLevel="0" collapsed="false">
      <c r="A29" s="34" t="s">
        <v>479</v>
      </c>
      <c r="B29" s="43" t="n">
        <v>0.0123</v>
      </c>
      <c r="C29" s="43" t="n">
        <v>0.0232</v>
      </c>
      <c r="D29" s="37" t="n">
        <f aca="false">$B29*'SAM &amp; SOM'!B$10</f>
        <v>64140.575146875</v>
      </c>
      <c r="E29" s="37" t="n">
        <f aca="false">$B29*'SAM &amp; SOM'!C$10</f>
        <v>350959.3086375</v>
      </c>
      <c r="F29" s="37" t="n">
        <f aca="false">$B29*'SAM &amp; SOM'!D$10</f>
        <v>1365958.2421875</v>
      </c>
      <c r="G29" s="37" t="n">
        <f aca="false">$C29*'SAM &amp; SOM'!B$14</f>
        <v>95444.8</v>
      </c>
      <c r="H29" s="37" t="n">
        <f aca="false">$C29*'SAM &amp; SOM'!C$14</f>
        <v>621180</v>
      </c>
      <c r="I29" s="37" t="n">
        <f aca="false">$C29*'SAM &amp; SOM'!D$14</f>
        <v>2521793.6</v>
      </c>
      <c r="J29" s="2" t="s">
        <v>480</v>
      </c>
    </row>
    <row r="30" customFormat="false" ht="15" hidden="false" customHeight="false" outlineLevel="0" collapsed="false">
      <c r="A30" s="34" t="s">
        <v>481</v>
      </c>
      <c r="B30" s="43" t="n">
        <v>0.0082</v>
      </c>
      <c r="C30" s="43" t="n">
        <v>0.0197</v>
      </c>
      <c r="D30" s="37" t="n">
        <f aca="false">$B30*'SAM &amp; SOM'!B$10</f>
        <v>42760.38343125</v>
      </c>
      <c r="E30" s="37" t="n">
        <f aca="false">$B30*'SAM &amp; SOM'!C$10</f>
        <v>233972.872425</v>
      </c>
      <c r="F30" s="37" t="n">
        <f aca="false">$B30*'SAM &amp; SOM'!D$10</f>
        <v>910638.828125</v>
      </c>
      <c r="G30" s="37" t="n">
        <f aca="false">$C30*'SAM &amp; SOM'!B$14</f>
        <v>81045.8</v>
      </c>
      <c r="H30" s="37" t="n">
        <f aca="false">$C30*'SAM &amp; SOM'!C$14</f>
        <v>527467.5</v>
      </c>
      <c r="I30" s="37" t="n">
        <f aca="false">$C30*'SAM &amp; SOM'!D$14</f>
        <v>2141350.6</v>
      </c>
      <c r="J30" s="2" t="s">
        <v>482</v>
      </c>
    </row>
    <row r="31" customFormat="false" ht="15" hidden="false" customHeight="false" outlineLevel="0" collapsed="false">
      <c r="A31" s="34" t="s">
        <v>483</v>
      </c>
      <c r="B31" s="43" t="n">
        <v>0.0057</v>
      </c>
      <c r="C31" s="43" t="n">
        <v>0.021</v>
      </c>
      <c r="D31" s="37" t="n">
        <f aca="false">$B31*'SAM &amp; SOM'!B$10</f>
        <v>29723.681165625</v>
      </c>
      <c r="E31" s="37" t="n">
        <f aca="false">$B31*'SAM &amp; SOM'!C$10</f>
        <v>162639.6796125</v>
      </c>
      <c r="F31" s="37" t="n">
        <f aca="false">$B31*'SAM &amp; SOM'!D$10</f>
        <v>633005.0390625</v>
      </c>
      <c r="G31" s="37" t="n">
        <f aca="false">$C31*'SAM &amp; SOM'!B$14</f>
        <v>86394</v>
      </c>
      <c r="H31" s="37" t="n">
        <f aca="false">$C31*'SAM &amp; SOM'!C$14</f>
        <v>562275</v>
      </c>
      <c r="I31" s="37" t="n">
        <f aca="false">$C31*'SAM &amp; SOM'!D$14</f>
        <v>2282658</v>
      </c>
      <c r="J31" s="2" t="s">
        <v>480</v>
      </c>
    </row>
    <row r="32" customFormat="false" ht="22.35" hidden="false" customHeight="false" outlineLevel="0" collapsed="false">
      <c r="A32" s="34" t="s">
        <v>484</v>
      </c>
      <c r="B32" s="43" t="n">
        <v>0.0287</v>
      </c>
      <c r="C32" s="43" t="n">
        <v>0.0175</v>
      </c>
      <c r="D32" s="37" t="n">
        <f aca="false">$B32*'SAM &amp; SOM'!B$10</f>
        <v>149661.342009375</v>
      </c>
      <c r="E32" s="37" t="n">
        <f aca="false">$B32*'SAM &amp; SOM'!C$10</f>
        <v>818905.0534875</v>
      </c>
      <c r="F32" s="37" t="n">
        <f aca="false">$B32*'SAM &amp; SOM'!D$10</f>
        <v>3187235.8984375</v>
      </c>
      <c r="G32" s="37" t="n">
        <f aca="false">$C32*'SAM &amp; SOM'!B$14</f>
        <v>71995</v>
      </c>
      <c r="H32" s="37" t="n">
        <f aca="false">$C32*'SAM &amp; SOM'!C$14</f>
        <v>468562.5</v>
      </c>
      <c r="I32" s="37" t="n">
        <f aca="false">$C32*'SAM &amp; SOM'!D$14</f>
        <v>1902215</v>
      </c>
      <c r="J32" s="2" t="s">
        <v>485</v>
      </c>
    </row>
    <row r="33" customFormat="false" ht="15" hidden="false" customHeight="false" outlineLevel="0" collapsed="false">
      <c r="A33" s="34" t="s">
        <v>486</v>
      </c>
      <c r="B33" s="43" t="n">
        <v>0.0082</v>
      </c>
      <c r="C33" s="43" t="n">
        <v>0.0173</v>
      </c>
      <c r="D33" s="37" t="n">
        <f aca="false">$B33*'SAM &amp; SOM'!B$10</f>
        <v>42760.38343125</v>
      </c>
      <c r="E33" s="37" t="n">
        <f aca="false">$B33*'SAM &amp; SOM'!C$10</f>
        <v>233972.872425</v>
      </c>
      <c r="F33" s="37" t="n">
        <f aca="false">$B33*'SAM &amp; SOM'!D$10</f>
        <v>910638.828125</v>
      </c>
      <c r="G33" s="37" t="n">
        <f aca="false">$C33*'SAM &amp; SOM'!B$14</f>
        <v>71172.2</v>
      </c>
      <c r="H33" s="37" t="n">
        <f aca="false">$C33*'SAM &amp; SOM'!C$14</f>
        <v>463207.5</v>
      </c>
      <c r="I33" s="37" t="n">
        <f aca="false">$C33*'SAM &amp; SOM'!D$14</f>
        <v>1880475.4</v>
      </c>
      <c r="J33" s="2" t="s">
        <v>478</v>
      </c>
    </row>
    <row r="34" customFormat="false" ht="15" hidden="false" customHeight="false" outlineLevel="0" collapsed="false">
      <c r="A34" s="34" t="s">
        <v>487</v>
      </c>
      <c r="B34" s="43" t="n">
        <v>0.0082</v>
      </c>
      <c r="C34" s="43" t="n">
        <v>0.0164</v>
      </c>
      <c r="D34" s="37" t="n">
        <f aca="false">$B34*'SAM &amp; SOM'!B$10</f>
        <v>42760.38343125</v>
      </c>
      <c r="E34" s="37" t="n">
        <f aca="false">$B34*'SAM &amp; SOM'!C$10</f>
        <v>233972.872425</v>
      </c>
      <c r="F34" s="37" t="n">
        <f aca="false">$B34*'SAM &amp; SOM'!D$10</f>
        <v>910638.828125</v>
      </c>
      <c r="G34" s="37" t="n">
        <f aca="false">$C34*'SAM &amp; SOM'!B$14</f>
        <v>67469.6</v>
      </c>
      <c r="H34" s="37" t="n">
        <f aca="false">$C34*'SAM &amp; SOM'!C$14</f>
        <v>439110</v>
      </c>
      <c r="I34" s="37" t="n">
        <f aca="false">$C34*'SAM &amp; SOM'!D$14</f>
        <v>1782647.2</v>
      </c>
      <c r="J34" s="2" t="s">
        <v>482</v>
      </c>
    </row>
    <row r="35" customFormat="false" ht="22.35" hidden="false" customHeight="false" outlineLevel="0" collapsed="false">
      <c r="A35" s="34" t="s">
        <v>488</v>
      </c>
      <c r="B35" s="43" t="n">
        <v>0.0246</v>
      </c>
      <c r="C35" s="43" t="n">
        <v>0.0174</v>
      </c>
      <c r="D35" s="37" t="n">
        <f aca="false">$B35*'SAM &amp; SOM'!B$10</f>
        <v>128281.15029375</v>
      </c>
      <c r="E35" s="37" t="n">
        <f aca="false">$B35*'SAM &amp; SOM'!C$10</f>
        <v>701918.617275</v>
      </c>
      <c r="F35" s="37" t="n">
        <f aca="false">$B35*'SAM &amp; SOM'!D$10</f>
        <v>2731916.484375</v>
      </c>
      <c r="G35" s="37" t="n">
        <f aca="false">$C35*'SAM &amp; SOM'!B$14</f>
        <v>71583.6</v>
      </c>
      <c r="H35" s="37" t="n">
        <f aca="false">$C35*'SAM &amp; SOM'!C$14</f>
        <v>465885</v>
      </c>
      <c r="I35" s="37" t="n">
        <f aca="false">$C35*'SAM &amp; SOM'!D$14</f>
        <v>1891345.2</v>
      </c>
      <c r="J35" s="2" t="s">
        <v>489</v>
      </c>
    </row>
    <row r="36" customFormat="false" ht="15" hidden="false" customHeight="false" outlineLevel="0" collapsed="false">
      <c r="A36" s="34" t="s">
        <v>490</v>
      </c>
      <c r="B36" s="43" t="n">
        <v>0.0025</v>
      </c>
      <c r="C36" s="43" t="n">
        <v>0.015</v>
      </c>
      <c r="D36" s="37" t="n">
        <f aca="false">$B36*'SAM &amp; SOM'!B$10</f>
        <v>13036.702265625</v>
      </c>
      <c r="E36" s="37" t="n">
        <f aca="false">$B36*'SAM &amp; SOM'!C$10</f>
        <v>71333.1928125</v>
      </c>
      <c r="F36" s="37" t="n">
        <f aca="false">$B36*'SAM &amp; SOM'!D$10</f>
        <v>277633.7890625</v>
      </c>
      <c r="G36" s="37" t="n">
        <f aca="false">$C36*'SAM &amp; SOM'!B$14</f>
        <v>61710</v>
      </c>
      <c r="H36" s="37" t="n">
        <f aca="false">$C36*'SAM &amp; SOM'!C$14</f>
        <v>401625</v>
      </c>
      <c r="I36" s="37" t="n">
        <f aca="false">$C36*'SAM &amp; SOM'!D$14</f>
        <v>1630470</v>
      </c>
      <c r="J36" s="2" t="s">
        <v>478</v>
      </c>
    </row>
    <row r="37" customFormat="false" ht="15" hidden="false" customHeight="false" outlineLevel="0" collapsed="false">
      <c r="A37" s="34" t="s">
        <v>491</v>
      </c>
      <c r="B37" s="43" t="n">
        <v>0.0033</v>
      </c>
      <c r="C37" s="43" t="n">
        <v>0.0158</v>
      </c>
      <c r="D37" s="37" t="n">
        <f aca="false">$B37*'SAM &amp; SOM'!B$10</f>
        <v>17208.446990625</v>
      </c>
      <c r="E37" s="37" t="n">
        <f aca="false">$B37*'SAM &amp; SOM'!C$10</f>
        <v>94159.8145125</v>
      </c>
      <c r="F37" s="37" t="n">
        <f aca="false">$B37*'SAM &amp; SOM'!D$10</f>
        <v>366476.6015625</v>
      </c>
      <c r="G37" s="37" t="n">
        <f aca="false">$C37*'SAM &amp; SOM'!B$14</f>
        <v>65001.2</v>
      </c>
      <c r="H37" s="37" t="n">
        <f aca="false">$C37*'SAM &amp; SOM'!C$14</f>
        <v>423045</v>
      </c>
      <c r="I37" s="37" t="n">
        <f aca="false">$C37*'SAM &amp; SOM'!D$14</f>
        <v>1717428.4</v>
      </c>
      <c r="J37" s="2" t="s">
        <v>480</v>
      </c>
    </row>
    <row r="38" customFormat="false" ht="15" hidden="false" customHeight="false" outlineLevel="0" collapsed="false">
      <c r="A38" s="34" t="s">
        <v>492</v>
      </c>
      <c r="B38" s="43" t="n">
        <v>0.0123</v>
      </c>
      <c r="C38" s="43" t="n">
        <v>0.0132</v>
      </c>
      <c r="D38" s="37" t="n">
        <f aca="false">$B38*'SAM &amp; SOM'!B$10</f>
        <v>64140.575146875</v>
      </c>
      <c r="E38" s="37" t="n">
        <f aca="false">$B38*'SAM &amp; SOM'!C$10</f>
        <v>350959.3086375</v>
      </c>
      <c r="F38" s="37" t="n">
        <f aca="false">$B38*'SAM &amp; SOM'!D$10</f>
        <v>1365958.2421875</v>
      </c>
      <c r="G38" s="37" t="n">
        <f aca="false">$C38*'SAM &amp; SOM'!B$14</f>
        <v>54304.8</v>
      </c>
      <c r="H38" s="37" t="n">
        <f aca="false">$C38*'SAM &amp; SOM'!C$14</f>
        <v>353430</v>
      </c>
      <c r="I38" s="37" t="n">
        <f aca="false">$C38*'SAM &amp; SOM'!D$14</f>
        <v>1434813.6</v>
      </c>
      <c r="J38" s="2" t="s">
        <v>493</v>
      </c>
    </row>
    <row r="39" customFormat="false" ht="15" hidden="false" customHeight="false" outlineLevel="0" collapsed="false">
      <c r="A39" s="34" t="s">
        <v>494</v>
      </c>
      <c r="B39" s="43" t="n">
        <v>0.0033</v>
      </c>
      <c r="C39" s="43" t="n">
        <v>0.0117</v>
      </c>
      <c r="D39" s="37" t="n">
        <f aca="false">$B39*'SAM &amp; SOM'!B$10</f>
        <v>17208.446990625</v>
      </c>
      <c r="E39" s="37" t="n">
        <f aca="false">$B39*'SAM &amp; SOM'!C$10</f>
        <v>94159.8145125</v>
      </c>
      <c r="F39" s="37" t="n">
        <f aca="false">$B39*'SAM &amp; SOM'!D$10</f>
        <v>366476.6015625</v>
      </c>
      <c r="G39" s="37" t="n">
        <f aca="false">$C39*'SAM &amp; SOM'!B$14</f>
        <v>48133.8</v>
      </c>
      <c r="H39" s="37" t="n">
        <f aca="false">$C39*'SAM &amp; SOM'!C$14</f>
        <v>313267.5</v>
      </c>
      <c r="I39" s="37" t="n">
        <f aca="false">$C39*'SAM &amp; SOM'!D$14</f>
        <v>1271766.6</v>
      </c>
      <c r="J39" s="2" t="s">
        <v>482</v>
      </c>
    </row>
    <row r="40" customFormat="false" ht="15" hidden="false" customHeight="false" outlineLevel="0" collapsed="false">
      <c r="A40" s="34" t="s">
        <v>495</v>
      </c>
      <c r="B40" s="43" t="n">
        <v>0.0049</v>
      </c>
      <c r="C40" s="43" t="n">
        <v>0.0138</v>
      </c>
      <c r="D40" s="37" t="n">
        <f aca="false">$B40*'SAM &amp; SOM'!B$10</f>
        <v>25551.936440625</v>
      </c>
      <c r="E40" s="37" t="n">
        <f aca="false">$B40*'SAM &amp; SOM'!C$10</f>
        <v>139813.0579125</v>
      </c>
      <c r="F40" s="37" t="n">
        <f aca="false">$B40*'SAM &amp; SOM'!D$10</f>
        <v>544162.2265625</v>
      </c>
      <c r="G40" s="37" t="n">
        <f aca="false">$C40*'SAM &amp; SOM'!B$14</f>
        <v>56773.2</v>
      </c>
      <c r="H40" s="37" t="n">
        <f aca="false">$C40*'SAM &amp; SOM'!C$14</f>
        <v>369495</v>
      </c>
      <c r="I40" s="37" t="n">
        <f aca="false">$C40*'SAM &amp; SOM'!D$14</f>
        <v>1500032.4</v>
      </c>
      <c r="J40" s="2" t="s">
        <v>480</v>
      </c>
    </row>
    <row r="41" customFormat="false" ht="15" hidden="false" customHeight="false" outlineLevel="0" collapsed="false">
      <c r="A41" s="34" t="s">
        <v>496</v>
      </c>
      <c r="B41" s="43" t="n">
        <v>0.0041</v>
      </c>
      <c r="C41" s="43" t="n">
        <v>0.0115</v>
      </c>
      <c r="D41" s="37" t="n">
        <f aca="false">$B41*'SAM &amp; SOM'!B$10</f>
        <v>21380.191715625</v>
      </c>
      <c r="E41" s="37" t="n">
        <f aca="false">$B41*'SAM &amp; SOM'!C$10</f>
        <v>116986.4362125</v>
      </c>
      <c r="F41" s="37" t="n">
        <f aca="false">$B41*'SAM &amp; SOM'!D$10</f>
        <v>455319.4140625</v>
      </c>
      <c r="G41" s="37" t="n">
        <f aca="false">$C41*'SAM &amp; SOM'!B$14</f>
        <v>47311</v>
      </c>
      <c r="H41" s="37" t="n">
        <f aca="false">$C41*'SAM &amp; SOM'!C$14</f>
        <v>307912.5</v>
      </c>
      <c r="I41" s="37" t="n">
        <f aca="false">$C41*'SAM &amp; SOM'!D$14</f>
        <v>1250027</v>
      </c>
      <c r="J41" s="2" t="s">
        <v>482</v>
      </c>
    </row>
    <row r="42" customFormat="false" ht="15" hidden="false" customHeight="false" outlineLevel="0" collapsed="false">
      <c r="A42" s="34" t="s">
        <v>497</v>
      </c>
      <c r="B42" s="43" t="n">
        <v>0.0041</v>
      </c>
      <c r="C42" s="43" t="n">
        <v>0.0124</v>
      </c>
      <c r="D42" s="37" t="n">
        <f aca="false">$B42*'SAM &amp; SOM'!B$10</f>
        <v>21380.191715625</v>
      </c>
      <c r="E42" s="37" t="n">
        <f aca="false">$B42*'SAM &amp; SOM'!C$10</f>
        <v>116986.4362125</v>
      </c>
      <c r="F42" s="37" t="n">
        <f aca="false">$B42*'SAM &amp; SOM'!D$10</f>
        <v>455319.4140625</v>
      </c>
      <c r="G42" s="37" t="n">
        <f aca="false">$C42*'SAM &amp; SOM'!B$14</f>
        <v>51013.6</v>
      </c>
      <c r="H42" s="37" t="n">
        <f aca="false">$C42*'SAM &amp; SOM'!C$14</f>
        <v>332010</v>
      </c>
      <c r="I42" s="37" t="n">
        <f aca="false">$C42*'SAM &amp; SOM'!D$14</f>
        <v>1347855.2</v>
      </c>
      <c r="J42" s="2" t="s">
        <v>478</v>
      </c>
    </row>
    <row r="43" customFormat="false" ht="22.35" hidden="false" customHeight="false" outlineLevel="0" collapsed="false">
      <c r="A43" s="34" t="s">
        <v>498</v>
      </c>
      <c r="B43" s="43" t="n">
        <v>0.0123</v>
      </c>
      <c r="C43" s="43" t="n">
        <v>0.0142</v>
      </c>
      <c r="D43" s="37" t="n">
        <f aca="false">$B43*'SAM &amp; SOM'!B$10</f>
        <v>64140.575146875</v>
      </c>
      <c r="E43" s="37" t="n">
        <f aca="false">$B43*'SAM &amp; SOM'!C$10</f>
        <v>350959.3086375</v>
      </c>
      <c r="F43" s="37" t="n">
        <f aca="false">$B43*'SAM &amp; SOM'!D$10</f>
        <v>1365958.2421875</v>
      </c>
      <c r="G43" s="37" t="n">
        <f aca="false">$C43*'SAM &amp; SOM'!B$14</f>
        <v>58418.8</v>
      </c>
      <c r="H43" s="37" t="n">
        <f aca="false">$C43*'SAM &amp; SOM'!C$14</f>
        <v>380205</v>
      </c>
      <c r="I43" s="37" t="n">
        <f aca="false">$C43*'SAM &amp; SOM'!D$14</f>
        <v>1543511.6</v>
      </c>
      <c r="J43" s="2" t="s">
        <v>499</v>
      </c>
    </row>
    <row r="44" customFormat="false" ht="15" hidden="false" customHeight="false" outlineLevel="0" collapsed="false">
      <c r="A44" s="34" t="s">
        <v>500</v>
      </c>
      <c r="B44" s="43" t="n">
        <v>0.0016</v>
      </c>
      <c r="C44" s="43" t="n">
        <v>0.0095</v>
      </c>
      <c r="D44" s="37" t="n">
        <f aca="false">$B44*'SAM &amp; SOM'!B$10</f>
        <v>8343.48945</v>
      </c>
      <c r="E44" s="37" t="n">
        <f aca="false">$B44*'SAM &amp; SOM'!C$10</f>
        <v>45653.2434</v>
      </c>
      <c r="F44" s="37" t="n">
        <f aca="false">$B44*'SAM &amp; SOM'!D$10</f>
        <v>177685.625</v>
      </c>
      <c r="G44" s="37" t="n">
        <f aca="false">$C44*'SAM &amp; SOM'!B$14</f>
        <v>39083</v>
      </c>
      <c r="H44" s="37" t="n">
        <f aca="false">$C44*'SAM &amp; SOM'!C$14</f>
        <v>254362.5</v>
      </c>
      <c r="I44" s="37" t="n">
        <f aca="false">$C44*'SAM &amp; SOM'!D$14</f>
        <v>1032631</v>
      </c>
      <c r="J44" s="2" t="s">
        <v>482</v>
      </c>
    </row>
    <row r="45" customFormat="false" ht="15" hidden="false" customHeight="false" outlineLevel="0" collapsed="false">
      <c r="A45" s="34" t="s">
        <v>501</v>
      </c>
      <c r="B45" s="43" t="n">
        <v>0.0016</v>
      </c>
      <c r="C45" s="43" t="n">
        <v>0.0106</v>
      </c>
      <c r="D45" s="37" t="n">
        <f aca="false">$B45*'SAM &amp; SOM'!B$10</f>
        <v>8343.48945</v>
      </c>
      <c r="E45" s="37" t="n">
        <f aca="false">$B45*'SAM &amp; SOM'!C$10</f>
        <v>45653.2434</v>
      </c>
      <c r="F45" s="37" t="n">
        <f aca="false">$B45*'SAM &amp; SOM'!D$10</f>
        <v>177685.625</v>
      </c>
      <c r="G45" s="37" t="n">
        <f aca="false">$C45*'SAM &amp; SOM'!B$14</f>
        <v>43608.4</v>
      </c>
      <c r="H45" s="37" t="n">
        <f aca="false">$C45*'SAM &amp; SOM'!C$14</f>
        <v>283815</v>
      </c>
      <c r="I45" s="37" t="n">
        <f aca="false">$C45*'SAM &amp; SOM'!D$14</f>
        <v>1152198.8</v>
      </c>
      <c r="J45" s="2" t="s">
        <v>480</v>
      </c>
    </row>
    <row r="46" customFormat="false" ht="15" hidden="false" customHeight="false" outlineLevel="0" collapsed="false">
      <c r="A46" s="34" t="s">
        <v>502</v>
      </c>
      <c r="B46" s="43" t="n">
        <v>0.0025</v>
      </c>
      <c r="C46" s="43" t="n">
        <v>0.0087</v>
      </c>
      <c r="D46" s="37" t="n">
        <f aca="false">$B46*'SAM &amp; SOM'!B$10</f>
        <v>13036.702265625</v>
      </c>
      <c r="E46" s="37" t="n">
        <f aca="false">$B46*'SAM &amp; SOM'!C$10</f>
        <v>71333.1928125</v>
      </c>
      <c r="F46" s="37" t="n">
        <f aca="false">$B46*'SAM &amp; SOM'!D$10</f>
        <v>277633.7890625</v>
      </c>
      <c r="G46" s="37" t="n">
        <f aca="false">$C46*'SAM &amp; SOM'!B$14</f>
        <v>35791.8</v>
      </c>
      <c r="H46" s="37" t="n">
        <f aca="false">$C46*'SAM &amp; SOM'!C$14</f>
        <v>232942.5</v>
      </c>
      <c r="I46" s="37" t="n">
        <f aca="false">$C46*'SAM &amp; SOM'!D$14</f>
        <v>945672.6</v>
      </c>
      <c r="J46" s="2" t="s">
        <v>482</v>
      </c>
    </row>
    <row r="47" customFormat="false" ht="15" hidden="false" customHeight="false" outlineLevel="0" collapsed="false">
      <c r="A47" s="34" t="s">
        <v>503</v>
      </c>
      <c r="B47" s="43" t="n">
        <v>0.0025</v>
      </c>
      <c r="C47" s="43" t="n">
        <v>0.0085</v>
      </c>
      <c r="D47" s="37" t="n">
        <f aca="false">$B47*'SAM &amp; SOM'!B$10</f>
        <v>13036.702265625</v>
      </c>
      <c r="E47" s="37" t="n">
        <f aca="false">$B47*'SAM &amp; SOM'!C$10</f>
        <v>71333.1928125</v>
      </c>
      <c r="F47" s="37" t="n">
        <f aca="false">$B47*'SAM &amp; SOM'!D$10</f>
        <v>277633.7890625</v>
      </c>
      <c r="G47" s="37" t="n">
        <f aca="false">$C47*'SAM &amp; SOM'!B$14</f>
        <v>34969</v>
      </c>
      <c r="H47" s="37" t="n">
        <f aca="false">$C47*'SAM &amp; SOM'!C$14</f>
        <v>227587.5</v>
      </c>
      <c r="I47" s="37" t="n">
        <f aca="false">$C47*'SAM &amp; SOM'!D$14</f>
        <v>923933</v>
      </c>
      <c r="J47" s="2" t="s">
        <v>482</v>
      </c>
    </row>
    <row r="48" customFormat="false" ht="15" hidden="false" customHeight="false" outlineLevel="0" collapsed="false">
      <c r="A48" s="34" t="s">
        <v>504</v>
      </c>
      <c r="B48" s="43" t="n">
        <v>0.0041</v>
      </c>
      <c r="C48" s="43" t="n">
        <v>0.0082</v>
      </c>
      <c r="D48" s="37" t="n">
        <f aca="false">$B48*'SAM &amp; SOM'!B$10</f>
        <v>21380.191715625</v>
      </c>
      <c r="E48" s="37" t="n">
        <f aca="false">$B48*'SAM &amp; SOM'!C$10</f>
        <v>116986.4362125</v>
      </c>
      <c r="F48" s="37" t="n">
        <f aca="false">$B48*'SAM &amp; SOM'!D$10</f>
        <v>455319.4140625</v>
      </c>
      <c r="G48" s="37" t="n">
        <f aca="false">$C48*'SAM &amp; SOM'!B$14</f>
        <v>33734.8</v>
      </c>
      <c r="H48" s="37" t="n">
        <f aca="false">$C48*'SAM &amp; SOM'!C$14</f>
        <v>219555</v>
      </c>
      <c r="I48" s="37" t="n">
        <f aca="false">$C48*'SAM &amp; SOM'!D$14</f>
        <v>891323.6</v>
      </c>
      <c r="J48" s="2" t="s">
        <v>478</v>
      </c>
    </row>
    <row r="49" customFormat="false" ht="15" hidden="false" customHeight="false" outlineLevel="0" collapsed="false">
      <c r="A49" s="34" t="s">
        <v>505</v>
      </c>
      <c r="B49" s="43" t="n">
        <v>0.0016</v>
      </c>
      <c r="C49" s="43" t="n">
        <v>0.0076</v>
      </c>
      <c r="D49" s="37" t="n">
        <f aca="false">$B49*'SAM &amp; SOM'!B$10</f>
        <v>8343.48945</v>
      </c>
      <c r="E49" s="37" t="n">
        <f aca="false">$B49*'SAM &amp; SOM'!C$10</f>
        <v>45653.2434</v>
      </c>
      <c r="F49" s="37" t="n">
        <f aca="false">$B49*'SAM &amp; SOM'!D$10</f>
        <v>177685.625</v>
      </c>
      <c r="G49" s="37" t="n">
        <f aca="false">$C49*'SAM &amp; SOM'!B$14</f>
        <v>31266.4</v>
      </c>
      <c r="H49" s="37" t="n">
        <f aca="false">$C49*'SAM &amp; SOM'!C$14</f>
        <v>203490</v>
      </c>
      <c r="I49" s="37" t="n">
        <f aca="false">$C49*'SAM &amp; SOM'!D$14</f>
        <v>826104.8</v>
      </c>
      <c r="J49" s="2" t="s">
        <v>482</v>
      </c>
    </row>
    <row r="50" customFormat="false" ht="15" hidden="false" customHeight="false" outlineLevel="0" collapsed="false">
      <c r="A50" s="34" t="s">
        <v>506</v>
      </c>
      <c r="B50" s="43" t="n">
        <v>0.0016</v>
      </c>
      <c r="C50" s="43" t="n">
        <v>0.0076</v>
      </c>
      <c r="D50" s="37" t="n">
        <f aca="false">$B50*'SAM &amp; SOM'!B$10</f>
        <v>8343.48945</v>
      </c>
      <c r="E50" s="37" t="n">
        <f aca="false">$B50*'SAM &amp; SOM'!C$10</f>
        <v>45653.2434</v>
      </c>
      <c r="F50" s="37" t="n">
        <f aca="false">$B50*'SAM &amp; SOM'!D$10</f>
        <v>177685.625</v>
      </c>
      <c r="G50" s="37" t="n">
        <f aca="false">$C50*'SAM &amp; SOM'!B$14</f>
        <v>31266.4</v>
      </c>
      <c r="H50" s="37" t="n">
        <f aca="false">$C50*'SAM &amp; SOM'!C$14</f>
        <v>203490</v>
      </c>
      <c r="I50" s="37" t="n">
        <f aca="false">$C50*'SAM &amp; SOM'!D$14</f>
        <v>826104.8</v>
      </c>
      <c r="J50" s="2" t="s">
        <v>482</v>
      </c>
    </row>
    <row r="51" customFormat="false" ht="32.8" hidden="false" customHeight="false" outlineLevel="0" collapsed="false">
      <c r="A51" s="34" t="s">
        <v>507</v>
      </c>
      <c r="B51" s="43" t="n">
        <v>0.0876</v>
      </c>
      <c r="C51" s="43" t="n">
        <v>0.4161</v>
      </c>
      <c r="D51" s="37" t="n">
        <f aca="false">$B51*'SAM &amp; SOM'!B$10</f>
        <v>456806.0473875</v>
      </c>
      <c r="E51" s="37" t="n">
        <f aca="false">$B51*'SAM &amp; SOM'!C$10</f>
        <v>2499515.07615</v>
      </c>
      <c r="F51" s="37" t="n">
        <f aca="false">$B51*'SAM &amp; SOM'!D$10</f>
        <v>9728287.96875</v>
      </c>
      <c r="G51" s="37" t="n">
        <f aca="false">$C51*'SAM &amp; SOM'!B$14</f>
        <v>1711835.4</v>
      </c>
      <c r="H51" s="37" t="n">
        <f aca="false">$C51*'SAM &amp; SOM'!C$14</f>
        <v>11141077.5</v>
      </c>
      <c r="I51" s="37" t="n">
        <f aca="false">$C51*'SAM &amp; SOM'!D$14</f>
        <v>45229237.8</v>
      </c>
      <c r="J51" s="2" t="s">
        <v>508</v>
      </c>
    </row>
    <row r="52" customFormat="false" ht="32.8" hidden="false" customHeight="false" outlineLevel="0" collapsed="false">
      <c r="A52" s="34" t="s">
        <v>509</v>
      </c>
      <c r="B52" s="43" t="n">
        <v>0.1267</v>
      </c>
      <c r="C52" s="43" t="n">
        <v>0.0365</v>
      </c>
      <c r="D52" s="37" t="n">
        <f aca="false">$B52*'SAM &amp; SOM'!B$10</f>
        <v>660700.070821875</v>
      </c>
      <c r="E52" s="37" t="n">
        <f aca="false">$B52*'SAM &amp; SOM'!C$10</f>
        <v>3615166.2117375</v>
      </c>
      <c r="F52" s="37" t="n">
        <f aca="false">$B52*'SAM &amp; SOM'!D$10</f>
        <v>14070480.4296875</v>
      </c>
      <c r="G52" s="37" t="n">
        <f aca="false">$C52*'SAM &amp; SOM'!B$14</f>
        <v>150161</v>
      </c>
      <c r="H52" s="37" t="n">
        <f aca="false">$C52*'SAM &amp; SOM'!C$14</f>
        <v>977287.5</v>
      </c>
      <c r="I52" s="37" t="n">
        <f aca="false">$C52*'SAM &amp; SOM'!D$14</f>
        <v>3967477</v>
      </c>
      <c r="J52" s="2" t="s">
        <v>510</v>
      </c>
    </row>
    <row r="53" customFormat="false" ht="22.35" hidden="false" customHeight="false" outlineLevel="0" collapsed="false">
      <c r="A53" s="34" t="s">
        <v>511</v>
      </c>
      <c r="B53" s="43" t="n">
        <v>0.0217</v>
      </c>
      <c r="C53" s="43" t="n">
        <v>0.0304</v>
      </c>
      <c r="D53" s="37" t="n">
        <f aca="false">$B53*'SAM &amp; SOM'!B$10</f>
        <v>113158.575665625</v>
      </c>
      <c r="E53" s="37" t="n">
        <f aca="false">$B53*'SAM &amp; SOM'!C$10</f>
        <v>619172.1136125</v>
      </c>
      <c r="F53" s="37" t="n">
        <f aca="false">$B53*'SAM &amp; SOM'!D$10</f>
        <v>2409861.2890625</v>
      </c>
      <c r="G53" s="37" t="n">
        <f aca="false">$C53*'SAM &amp; SOM'!B$14</f>
        <v>125065.6</v>
      </c>
      <c r="H53" s="37" t="n">
        <f aca="false">$C53*'SAM &amp; SOM'!C$14</f>
        <v>813960</v>
      </c>
      <c r="I53" s="37" t="n">
        <f aca="false">$C53*'SAM &amp; SOM'!D$14</f>
        <v>3304419.2</v>
      </c>
      <c r="J53" s="2" t="s">
        <v>512</v>
      </c>
    </row>
    <row r="54" customFormat="false" ht="15" hidden="false" customHeight="false" outlineLevel="0" collapsed="false">
      <c r="A54" s="34" t="s">
        <v>513</v>
      </c>
      <c r="B54" s="43" t="n">
        <v>0.0027</v>
      </c>
      <c r="C54" s="43" t="n">
        <v>0.0192</v>
      </c>
      <c r="D54" s="37" t="n">
        <f aca="false">$B54*'SAM &amp; SOM'!B$10</f>
        <v>14079.638446875</v>
      </c>
      <c r="E54" s="37" t="n">
        <f aca="false">$B54*'SAM &amp; SOM'!C$10</f>
        <v>77039.8482375</v>
      </c>
      <c r="F54" s="37" t="n">
        <f aca="false">$B54*'SAM &amp; SOM'!D$10</f>
        <v>299844.4921875</v>
      </c>
      <c r="G54" s="37" t="n">
        <f aca="false">$C54*'SAM &amp; SOM'!B$14</f>
        <v>78988.8</v>
      </c>
      <c r="H54" s="37" t="n">
        <f aca="false">$C54*'SAM &amp; SOM'!C$14</f>
        <v>514080</v>
      </c>
      <c r="I54" s="37" t="n">
        <f aca="false">$C54*'SAM &amp; SOM'!D$14</f>
        <v>2087001.6</v>
      </c>
      <c r="J54" s="2" t="s">
        <v>478</v>
      </c>
    </row>
    <row r="55" customFormat="false" ht="22.35" hidden="false" customHeight="false" outlineLevel="0" collapsed="false">
      <c r="A55" s="34" t="s">
        <v>514</v>
      </c>
      <c r="B55" s="43" t="n">
        <v>0.009</v>
      </c>
      <c r="C55" s="43" t="n">
        <v>0.0187</v>
      </c>
      <c r="D55" s="37" t="n">
        <f aca="false">$B55*'SAM &amp; SOM'!B$10</f>
        <v>46932.12815625</v>
      </c>
      <c r="E55" s="37" t="n">
        <f aca="false">$B55*'SAM &amp; SOM'!C$10</f>
        <v>256799.494125</v>
      </c>
      <c r="F55" s="37" t="n">
        <f aca="false">$B55*'SAM &amp; SOM'!D$10</f>
        <v>999481.640625</v>
      </c>
      <c r="G55" s="37" t="n">
        <f aca="false">$C55*'SAM &amp; SOM'!B$14</f>
        <v>76931.8</v>
      </c>
      <c r="H55" s="37" t="n">
        <f aca="false">$C55*'SAM &amp; SOM'!C$14</f>
        <v>500692.5</v>
      </c>
      <c r="I55" s="37" t="n">
        <f aca="false">$C55*'SAM &amp; SOM'!D$14</f>
        <v>2032652.6</v>
      </c>
      <c r="J55" s="2" t="s">
        <v>515</v>
      </c>
    </row>
    <row r="56" customFormat="false" ht="15" hidden="false" customHeight="false" outlineLevel="0" collapsed="false">
      <c r="A56" s="34" t="s">
        <v>516</v>
      </c>
      <c r="B56" s="43" t="n">
        <v>0.0045</v>
      </c>
      <c r="C56" s="43" t="n">
        <v>0.0208</v>
      </c>
      <c r="D56" s="37" t="n">
        <f aca="false">$B56*'SAM &amp; SOM'!B$10</f>
        <v>23466.064078125</v>
      </c>
      <c r="E56" s="37" t="n">
        <f aca="false">$B56*'SAM &amp; SOM'!C$10</f>
        <v>128399.7470625</v>
      </c>
      <c r="F56" s="37" t="n">
        <f aca="false">$B56*'SAM &amp; SOM'!D$10</f>
        <v>499740.8203125</v>
      </c>
      <c r="G56" s="37" t="n">
        <f aca="false">$C56*'SAM &amp; SOM'!B$14</f>
        <v>85571.2</v>
      </c>
      <c r="H56" s="37" t="n">
        <f aca="false">$C56*'SAM &amp; SOM'!C$14</f>
        <v>556920</v>
      </c>
      <c r="I56" s="37" t="n">
        <f aca="false">$C56*'SAM &amp; SOM'!D$14</f>
        <v>2260918.4</v>
      </c>
      <c r="J56" s="2" t="s">
        <v>517</v>
      </c>
    </row>
    <row r="57" customFormat="false" ht="15" hidden="false" customHeight="false" outlineLevel="0" collapsed="false">
      <c r="A57" s="34" t="s">
        <v>518</v>
      </c>
      <c r="B57" s="43" t="n">
        <v>0.0072</v>
      </c>
      <c r="C57" s="43" t="n">
        <v>0.013</v>
      </c>
      <c r="D57" s="37" t="n">
        <f aca="false">$B57*'SAM &amp; SOM'!B$10</f>
        <v>37545.702525</v>
      </c>
      <c r="E57" s="37" t="n">
        <f aca="false">$B57*'SAM &amp; SOM'!C$10</f>
        <v>205439.5953</v>
      </c>
      <c r="F57" s="37" t="n">
        <f aca="false">$B57*'SAM &amp; SOM'!D$10</f>
        <v>799585.3125</v>
      </c>
      <c r="G57" s="37" t="n">
        <f aca="false">$C57*'SAM &amp; SOM'!B$14</f>
        <v>53482</v>
      </c>
      <c r="H57" s="37" t="n">
        <f aca="false">$C57*'SAM &amp; SOM'!C$14</f>
        <v>348075</v>
      </c>
      <c r="I57" s="37" t="n">
        <f aca="false">$C57*'SAM &amp; SOM'!D$14</f>
        <v>1413074</v>
      </c>
      <c r="J57" s="2" t="s">
        <v>478</v>
      </c>
    </row>
    <row r="58" customFormat="false" ht="22.35" hidden="false" customHeight="false" outlineLevel="0" collapsed="false">
      <c r="A58" s="34" t="s">
        <v>519</v>
      </c>
      <c r="B58" s="43" t="n">
        <v>0.0072</v>
      </c>
      <c r="C58" s="43" t="n">
        <v>0.0162</v>
      </c>
      <c r="D58" s="37" t="n">
        <f aca="false">$B58*'SAM &amp; SOM'!B$10</f>
        <v>37545.702525</v>
      </c>
      <c r="E58" s="37" t="n">
        <f aca="false">$B58*'SAM &amp; SOM'!C$10</f>
        <v>205439.5953</v>
      </c>
      <c r="F58" s="37" t="n">
        <f aca="false">$B58*'SAM &amp; SOM'!D$10</f>
        <v>799585.3125</v>
      </c>
      <c r="G58" s="37" t="n">
        <f aca="false">$C58*'SAM &amp; SOM'!B$14</f>
        <v>66646.8</v>
      </c>
      <c r="H58" s="37" t="n">
        <f aca="false">$C58*'SAM &amp; SOM'!C$14</f>
        <v>433755</v>
      </c>
      <c r="I58" s="37" t="n">
        <f aca="false">$C58*'SAM &amp; SOM'!D$14</f>
        <v>1760907.6</v>
      </c>
      <c r="J58" s="2" t="s">
        <v>520</v>
      </c>
    </row>
    <row r="59" customFormat="false" ht="15" hidden="false" customHeight="false" outlineLevel="0" collapsed="false">
      <c r="A59" s="34" t="s">
        <v>521</v>
      </c>
      <c r="B59" s="43" t="n">
        <v>0.0018</v>
      </c>
      <c r="C59" s="43" t="n">
        <v>0.0056</v>
      </c>
      <c r="D59" s="37" t="n">
        <f aca="false">$B59*'SAM &amp; SOM'!B$10</f>
        <v>9386.42563125</v>
      </c>
      <c r="E59" s="37" t="n">
        <f aca="false">$B59*'SAM &amp; SOM'!C$10</f>
        <v>51359.898825</v>
      </c>
      <c r="F59" s="37" t="n">
        <f aca="false">$B59*'SAM &amp; SOM'!D$10</f>
        <v>199896.328125</v>
      </c>
      <c r="G59" s="37" t="n">
        <f aca="false">$C59*'SAM &amp; SOM'!B$14</f>
        <v>23038.4</v>
      </c>
      <c r="H59" s="37" t="n">
        <f aca="false">$C59*'SAM &amp; SOM'!C$14</f>
        <v>149940</v>
      </c>
      <c r="I59" s="37" t="n">
        <f aca="false">$C59*'SAM &amp; SOM'!D$14</f>
        <v>608708.8</v>
      </c>
      <c r="J59" s="2" t="s">
        <v>478</v>
      </c>
    </row>
    <row r="60" customFormat="false" ht="15" hidden="false" customHeight="false" outlineLevel="0" collapsed="false">
      <c r="A60" s="28" t="s">
        <v>471</v>
      </c>
      <c r="B60" s="44" t="n">
        <f aca="false">SUM(B26:B59)</f>
        <v>1</v>
      </c>
      <c r="C60" s="44" t="n">
        <f aca="false">SUM(C26:C59)</f>
        <v>1</v>
      </c>
      <c r="D60" s="29" t="n">
        <f aca="false">SUM(D26:D59)</f>
        <v>5214680.90625</v>
      </c>
      <c r="E60" s="29" t="n">
        <f aca="false">SUM(E26:E59)</f>
        <v>28533277.125</v>
      </c>
      <c r="F60" s="29" t="n">
        <f aca="false">SUM(F26:F59)</f>
        <v>111053515.625</v>
      </c>
      <c r="G60" s="29" t="n">
        <f aca="false">SUM(G26:G59)</f>
        <v>4114000</v>
      </c>
      <c r="H60" s="29" t="n">
        <f aca="false">SUM(H26:H59)</f>
        <v>26775000</v>
      </c>
      <c r="I60" s="29" t="n">
        <f aca="false">SUM(I26:I59)</f>
        <v>108698000</v>
      </c>
      <c r="J60" s="38"/>
    </row>
    <row r="61" customFormat="false" ht="15" hidden="false" customHeight="false" outlineLevel="0" collapsed="false">
      <c r="A61" s="7"/>
      <c r="B61" s="7"/>
      <c r="C61" s="7"/>
      <c r="D61" s="7"/>
      <c r="E61" s="7"/>
      <c r="F61" s="7"/>
      <c r="G61" s="7"/>
      <c r="H61" s="7"/>
      <c r="I61" s="7"/>
      <c r="J61" s="7"/>
    </row>
    <row r="62" customFormat="false" ht="15" hidden="false" customHeight="false" outlineLevel="0" collapsed="false">
      <c r="A62" s="24" t="s">
        <v>522</v>
      </c>
      <c r="B62" s="7"/>
      <c r="C62" s="7"/>
      <c r="D62" s="7"/>
      <c r="E62" s="7"/>
      <c r="F62" s="7"/>
      <c r="G62" s="7"/>
      <c r="H62" s="7"/>
      <c r="I62" s="7"/>
      <c r="J62" s="7"/>
    </row>
    <row r="63" customFormat="false" ht="15" hidden="false" customHeight="false" outlineLevel="0" collapsed="false">
      <c r="A63" s="36" t="s">
        <v>523</v>
      </c>
      <c r="B63" s="7"/>
      <c r="C63" s="7"/>
      <c r="D63" s="7"/>
      <c r="E63" s="7"/>
      <c r="F63" s="7"/>
      <c r="G63" s="7"/>
      <c r="H63" s="7"/>
      <c r="I63" s="7"/>
      <c r="J63" s="7"/>
    </row>
    <row r="64" customFormat="false" ht="15" hidden="false" customHeight="false" outlineLevel="0" collapsed="false">
      <c r="A64" s="36" t="s">
        <v>524</v>
      </c>
      <c r="B64" s="7"/>
      <c r="C64" s="7"/>
      <c r="D64" s="7"/>
      <c r="E64" s="7"/>
      <c r="F64" s="7"/>
      <c r="G64" s="7"/>
      <c r="H64" s="7"/>
      <c r="I64" s="7"/>
      <c r="J64" s="7"/>
    </row>
    <row r="65" customFormat="false" ht="15" hidden="false" customHeight="false" outlineLevel="0" collapsed="false">
      <c r="A65" s="36" t="s">
        <v>525</v>
      </c>
      <c r="B65" s="7"/>
      <c r="C65" s="7"/>
      <c r="D65" s="7"/>
      <c r="E65" s="7"/>
      <c r="F65" s="7"/>
      <c r="G65" s="7"/>
      <c r="H65" s="7"/>
      <c r="I65" s="7"/>
      <c r="J65" s="7"/>
    </row>
    <row r="66" customFormat="false" ht="15" hidden="false" customHeight="false" outlineLevel="0" collapsed="false">
      <c r="A66" s="36" t="s">
        <v>526</v>
      </c>
      <c r="B66" s="7"/>
      <c r="C66" s="7"/>
      <c r="D66" s="7"/>
      <c r="E66" s="7"/>
      <c r="F66" s="7"/>
      <c r="G66" s="7"/>
      <c r="H66" s="7"/>
      <c r="I66" s="7"/>
      <c r="J66" s="7"/>
    </row>
    <row r="67" customFormat="false" ht="15" hidden="false" customHeight="false" outlineLevel="0" collapsed="false">
      <c r="A67" s="36" t="s">
        <v>527</v>
      </c>
      <c r="B67" s="7"/>
      <c r="C67" s="7"/>
      <c r="D67" s="7"/>
      <c r="E67" s="7"/>
      <c r="F67" s="7"/>
      <c r="G67" s="7"/>
      <c r="H67" s="7"/>
      <c r="I67" s="7"/>
      <c r="J67" s="7"/>
    </row>
    <row r="68" customFormat="false" ht="15" hidden="false" customHeight="false" outlineLevel="0" collapsed="false">
      <c r="A68" s="36" t="s">
        <v>528</v>
      </c>
      <c r="B68" s="7"/>
      <c r="C68" s="7"/>
      <c r="D68" s="7"/>
      <c r="E68" s="7"/>
      <c r="F68" s="7"/>
      <c r="G68" s="7"/>
      <c r="H68" s="7"/>
      <c r="I68" s="7"/>
      <c r="J68" s="7"/>
    </row>
    <row r="69" customFormat="false" ht="15" hidden="false" customHeight="false" outlineLevel="0" collapsed="false">
      <c r="A69" s="36" t="s">
        <v>529</v>
      </c>
      <c r="B69" s="7"/>
      <c r="C69" s="7"/>
      <c r="D69" s="7"/>
      <c r="E69" s="7"/>
      <c r="F69" s="7"/>
      <c r="G69" s="7"/>
      <c r="H69" s="7"/>
      <c r="I69" s="7"/>
      <c r="J69" s="7"/>
    </row>
    <row r="70" customFormat="false" ht="15" hidden="false" customHeight="false" outlineLevel="0" collapsed="false">
      <c r="A70" s="36" t="s">
        <v>530</v>
      </c>
      <c r="B70" s="7"/>
      <c r="C70" s="7"/>
      <c r="D70" s="7"/>
      <c r="E70" s="7"/>
      <c r="F70" s="7"/>
      <c r="G70" s="7"/>
      <c r="H70" s="7"/>
      <c r="I70" s="7"/>
      <c r="J70" s="7"/>
    </row>
    <row r="71" customFormat="false" ht="15" hidden="false" customHeight="false" outlineLevel="0" collapsed="false">
      <c r="A71" s="36" t="s">
        <v>531</v>
      </c>
      <c r="B71" s="7"/>
      <c r="C71" s="7"/>
      <c r="D71" s="7"/>
      <c r="E71" s="7"/>
      <c r="F71" s="7"/>
      <c r="G71" s="7"/>
      <c r="H71" s="7"/>
      <c r="I71" s="7"/>
      <c r="J71" s="7"/>
    </row>
    <row r="72" customFormat="false" ht="15" hidden="false" customHeight="false" outlineLevel="0" collapsed="false">
      <c r="A72" s="36" t="s">
        <v>532</v>
      </c>
      <c r="B72" s="7"/>
      <c r="C72" s="7"/>
      <c r="D72" s="7"/>
      <c r="E72" s="7"/>
      <c r="F72" s="7"/>
      <c r="G72" s="7"/>
      <c r="H72" s="7"/>
      <c r="I72" s="7"/>
      <c r="J72" s="7"/>
    </row>
    <row r="73" customFormat="false" ht="15" hidden="false" customHeight="false" outlineLevel="0" collapsed="false">
      <c r="A73" s="36" t="s">
        <v>533</v>
      </c>
      <c r="B73" s="7"/>
      <c r="C73" s="7"/>
      <c r="D73" s="7"/>
      <c r="E73" s="7"/>
      <c r="F73" s="7"/>
      <c r="G73" s="7"/>
      <c r="H73" s="7"/>
      <c r="I73" s="7"/>
      <c r="J73" s="7"/>
    </row>
    <row r="74" customFormat="false" ht="15" hidden="false" customHeight="false" outlineLevel="0" collapsed="false">
      <c r="A74" s="36" t="s">
        <v>534</v>
      </c>
      <c r="B74" s="7"/>
      <c r="C74" s="7"/>
      <c r="D74" s="7"/>
      <c r="E74" s="7"/>
      <c r="F74" s="7"/>
      <c r="G74" s="7"/>
      <c r="H74" s="7"/>
      <c r="I74" s="7"/>
      <c r="J74" s="7"/>
    </row>
    <row r="75" customFormat="false" ht="15" hidden="false" customHeight="false" outlineLevel="0" collapsed="false">
      <c r="A75" s="36" t="s">
        <v>535</v>
      </c>
      <c r="B75" s="7"/>
      <c r="C75" s="7"/>
      <c r="D75" s="7"/>
      <c r="E75" s="7"/>
      <c r="F75" s="7"/>
      <c r="G75" s="7"/>
      <c r="H75" s="7"/>
      <c r="I75" s="7"/>
      <c r="J75" s="7"/>
    </row>
    <row r="76" customFormat="false" ht="15" hidden="false" customHeight="false" outlineLevel="0" collapsed="false">
      <c r="A76" s="36" t="s">
        <v>536</v>
      </c>
      <c r="B76" s="7"/>
      <c r="C76" s="7"/>
      <c r="D76" s="7"/>
      <c r="E76" s="7"/>
      <c r="F76" s="7"/>
      <c r="G76" s="7"/>
      <c r="H76" s="7"/>
      <c r="I76" s="7"/>
      <c r="J76" s="7"/>
    </row>
    <row r="77" customFormat="false" ht="15" hidden="false" customHeight="false" outlineLevel="0" collapsed="false">
      <c r="A77" s="36" t="s">
        <v>537</v>
      </c>
      <c r="B77" s="7"/>
      <c r="C77" s="7"/>
      <c r="D77" s="7"/>
      <c r="E77" s="7"/>
      <c r="F77" s="7"/>
      <c r="G77" s="7"/>
      <c r="H77" s="7"/>
      <c r="I77" s="7"/>
      <c r="J77" s="7"/>
    </row>
    <row r="78" customFormat="false" ht="15" hidden="false" customHeight="false" outlineLevel="0" collapsed="false">
      <c r="A78" s="36" t="s">
        <v>538</v>
      </c>
      <c r="B78" s="7"/>
      <c r="C78" s="7"/>
      <c r="D78" s="7"/>
      <c r="E78" s="7"/>
      <c r="F78" s="7"/>
      <c r="G78" s="7"/>
      <c r="H78" s="7"/>
      <c r="I78" s="7"/>
      <c r="J78" s="7"/>
    </row>
    <row r="79" customFormat="false" ht="15" hidden="false" customHeight="false" outlineLevel="0" collapsed="false">
      <c r="A79" s="36" t="s">
        <v>539</v>
      </c>
      <c r="B79" s="7"/>
      <c r="C79" s="7"/>
      <c r="D79" s="7"/>
      <c r="E79" s="7"/>
      <c r="F79" s="7"/>
      <c r="G79" s="7"/>
      <c r="H79" s="7"/>
      <c r="I79" s="7"/>
      <c r="J79" s="7"/>
    </row>
    <row r="80" customFormat="false" ht="15" hidden="false" customHeight="false" outlineLevel="0" collapsed="false">
      <c r="A80" s="36" t="s">
        <v>540</v>
      </c>
      <c r="B80" s="7"/>
      <c r="C80" s="7"/>
      <c r="D80" s="7"/>
      <c r="E80" s="7"/>
      <c r="F80" s="7"/>
      <c r="G80" s="7"/>
      <c r="H80" s="7"/>
      <c r="I80" s="7"/>
      <c r="J80" s="7"/>
    </row>
    <row r="81" customFormat="false" ht="15" hidden="false" customHeight="false" outlineLevel="0" collapsed="false">
      <c r="A81" s="36" t="s">
        <v>541</v>
      </c>
      <c r="B81" s="7"/>
      <c r="C81" s="7"/>
      <c r="D81" s="7"/>
      <c r="E81" s="7"/>
      <c r="F81" s="7"/>
      <c r="G81" s="7"/>
      <c r="H81" s="7"/>
      <c r="I81" s="7"/>
      <c r="J81" s="7"/>
    </row>
    <row r="82" customFormat="false" ht="15" hidden="false" customHeight="false" outlineLevel="0" collapsed="false">
      <c r="A82" s="36" t="s">
        <v>542</v>
      </c>
      <c r="B82" s="7"/>
      <c r="C82" s="7"/>
      <c r="D82" s="7"/>
      <c r="E82" s="7"/>
      <c r="F82" s="7"/>
      <c r="G82" s="7"/>
      <c r="H82" s="7"/>
      <c r="I82" s="7"/>
      <c r="J82" s="7"/>
    </row>
    <row r="83" customFormat="false" ht="15" hidden="false" customHeight="false" outlineLevel="0" collapsed="false">
      <c r="A83" s="36" t="s">
        <v>543</v>
      </c>
      <c r="B83" s="7"/>
      <c r="C83" s="7"/>
      <c r="D83" s="7"/>
      <c r="E83" s="7"/>
      <c r="F83" s="7"/>
      <c r="G83" s="7"/>
      <c r="H83" s="7"/>
      <c r="I83" s="7"/>
      <c r="J83" s="7"/>
    </row>
    <row r="84" customFormat="false" ht="15" hidden="false" customHeight="false" outlineLevel="0" collapsed="false">
      <c r="A84" s="36" t="s">
        <v>544</v>
      </c>
      <c r="B84" s="7"/>
      <c r="C84" s="7"/>
      <c r="D84" s="7"/>
      <c r="E84" s="7"/>
      <c r="F84" s="7"/>
      <c r="G84" s="7"/>
      <c r="H84" s="7"/>
      <c r="I84" s="7"/>
      <c r="J84" s="7"/>
    </row>
    <row r="85" customFormat="false" ht="15" hidden="false" customHeight="false" outlineLevel="0" collapsed="false">
      <c r="A85" s="36" t="s">
        <v>545</v>
      </c>
      <c r="B85" s="7"/>
      <c r="C85" s="7"/>
      <c r="D85" s="7"/>
      <c r="E85" s="7"/>
      <c r="F85" s="7"/>
      <c r="G85" s="7"/>
      <c r="H85" s="7"/>
      <c r="I85" s="7"/>
      <c r="J85"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5" min="2" style="0" width="20"/>
  </cols>
  <sheetData>
    <row r="1" customFormat="false" ht="16.15" hidden="false" customHeight="false" outlineLevel="0" collapsed="false">
      <c r="A1" s="6" t="s">
        <v>546</v>
      </c>
      <c r="B1" s="7"/>
      <c r="C1" s="7"/>
      <c r="D1" s="7"/>
      <c r="E1" s="7"/>
    </row>
    <row r="2" customFormat="false" ht="15" hidden="false" customHeight="false" outlineLevel="0" collapsed="false">
      <c r="A2" s="7"/>
      <c r="B2" s="7"/>
      <c r="C2" s="7"/>
      <c r="D2" s="7"/>
      <c r="E2" s="7"/>
    </row>
    <row r="3" customFormat="false" ht="15" hidden="false" customHeight="false" outlineLevel="0" collapsed="false">
      <c r="A3" s="8" t="s">
        <v>547</v>
      </c>
      <c r="B3" s="8" t="s">
        <v>548</v>
      </c>
      <c r="C3" s="8" t="s">
        <v>549</v>
      </c>
      <c r="D3" s="8" t="s">
        <v>550</v>
      </c>
      <c r="E3" s="8" t="s">
        <v>551</v>
      </c>
    </row>
    <row r="4" customFormat="false" ht="15" hidden="false" customHeight="false" outlineLevel="0" collapsed="false">
      <c r="A4" s="34" t="s">
        <v>552</v>
      </c>
      <c r="B4" s="37" t="n">
        <f aca="false">'TAM Build'!C128-'TAM Build'!C101+Assumptions!$B$61*Assumptions!$C$62</f>
        <v>715115000</v>
      </c>
      <c r="C4" s="37" t="n">
        <f aca="false">'TAM Build'!C128-'TAM Build'!C101+Assumptions!$D$61*Assumptions!$C$62</f>
        <v>929175000</v>
      </c>
      <c r="D4" s="45" t="n">
        <f aca="false">C4-B4</f>
        <v>214060000</v>
      </c>
      <c r="E4" s="46" t="n">
        <f aca="false">D4/'TAM Build'!C128</f>
        <v>0.238955587928311</v>
      </c>
    </row>
    <row r="5" customFormat="false" ht="15" hidden="false" customHeight="false" outlineLevel="0" collapsed="false">
      <c r="A5" s="34" t="s">
        <v>553</v>
      </c>
      <c r="B5" s="37" t="n">
        <f aca="false">'TAM Build'!C128-'TAM Build'!C28+Assumptions!$C$18*Assumptions!$B$19</f>
        <v>835815000</v>
      </c>
      <c r="C5" s="37" t="n">
        <f aca="false">'TAM Build'!C128-'TAM Build'!C28+Assumptions!$C$18*Assumptions!$D$19</f>
        <v>995815000</v>
      </c>
      <c r="D5" s="45" t="n">
        <f aca="false">C5-B5</f>
        <v>160000000</v>
      </c>
      <c r="E5" s="46" t="n">
        <f aca="false">D5/'TAM Build'!C128</f>
        <v>0.17860830640255</v>
      </c>
    </row>
    <row r="6" customFormat="false" ht="15" hidden="false" customHeight="false" outlineLevel="0" collapsed="false">
      <c r="A6" s="34" t="s">
        <v>554</v>
      </c>
      <c r="B6" s="37" t="n">
        <f aca="false">'TAM Build'!C128-'TAM Build'!C10+(Assumptions!$C$5*Assumptions!$C$6+Assumptions!$C$7*Assumptions!$C$8)*Assumptions!$B$9</f>
        <v>845600000</v>
      </c>
      <c r="C6" s="37" t="n">
        <f aca="false">'TAM Build'!C128-'TAM Build'!C10+(Assumptions!$C$5*Assumptions!$C$6+Assumptions!$C$7*Assumptions!$C$8)*Assumptions!$D$9</f>
        <v>946030000</v>
      </c>
      <c r="D6" s="45" t="n">
        <f aca="false">C6-B6</f>
        <v>100430000</v>
      </c>
      <c r="E6" s="46" t="n">
        <f aca="false">D6/'TAM Build'!C128</f>
        <v>0.11211020132505</v>
      </c>
    </row>
    <row r="7" customFormat="false" ht="15" hidden="false" customHeight="false" outlineLevel="0" collapsed="false">
      <c r="A7" s="34" t="s">
        <v>555</v>
      </c>
      <c r="B7" s="37" t="n">
        <f aca="false">'TAM Build'!C128-'TAM Build'!C92+Assumptions!$C$56*Assumptions!$B$57+Assumptions!$C$58*Assumptions!$C$59</f>
        <v>865815000</v>
      </c>
      <c r="C7" s="37" t="n">
        <f aca="false">'TAM Build'!C128-'TAM Build'!C92+Assumptions!$C$56*Assumptions!$D$57+Assumptions!$C$58*Assumptions!$C$59</f>
        <v>955815000</v>
      </c>
      <c r="D7" s="45" t="n">
        <f aca="false">C7-B7</f>
        <v>90000000</v>
      </c>
      <c r="E7" s="46" t="n">
        <f aca="false">D7/'TAM Build'!C128</f>
        <v>0.100467172351434</v>
      </c>
    </row>
    <row r="8" customFormat="false" ht="15" hidden="false" customHeight="false" outlineLevel="0" collapsed="false">
      <c r="A8" s="34" t="s">
        <v>556</v>
      </c>
      <c r="B8" s="37" t="n">
        <f aca="false">'TAM Build'!C128-'TAM Build'!C28+Assumptions!$B$18*Assumptions!$C$19</f>
        <v>858315000</v>
      </c>
      <c r="C8" s="37" t="n">
        <f aca="false">'TAM Build'!C128-'TAM Build'!C28+Assumptions!$D$18*Assumptions!$C$19</f>
        <v>945815000</v>
      </c>
      <c r="D8" s="45" t="n">
        <f aca="false">C8-B8</f>
        <v>87500000</v>
      </c>
      <c r="E8" s="46" t="n">
        <f aca="false">D8/'TAM Build'!C128</f>
        <v>0.0976764175638943</v>
      </c>
    </row>
    <row r="9" customFormat="false" ht="15" hidden="false" customHeight="false" outlineLevel="0" collapsed="false">
      <c r="A9" s="34" t="s">
        <v>557</v>
      </c>
      <c r="B9" s="37" t="n">
        <f aca="false">'TAM Build'!C128-'TAM Build'!C32+Assumptions!$C$20*Assumptions!$B$21</f>
        <v>865815000</v>
      </c>
      <c r="C9" s="37" t="n">
        <f aca="false">'TAM Build'!C128-'TAM Build'!C32+Assumptions!$C$20*Assumptions!$D$21</f>
        <v>940815000</v>
      </c>
      <c r="D9" s="45" t="n">
        <f aca="false">C9-B9</f>
        <v>75000000</v>
      </c>
      <c r="E9" s="46" t="n">
        <f aca="false">D9/'TAM Build'!C128</f>
        <v>0.0837226436261951</v>
      </c>
    </row>
    <row r="10" customFormat="false" ht="15" hidden="false" customHeight="false" outlineLevel="0" collapsed="false">
      <c r="A10" s="34" t="s">
        <v>558</v>
      </c>
      <c r="B10" s="37" t="n">
        <f aca="false">'TAM Build'!C128-'TAM Build'!C10+(Assumptions!$C$5*Assumptions!$B$6+Assumptions!$C$7*Assumptions!$C$8)*Assumptions!$C$9</f>
        <v>874665000</v>
      </c>
      <c r="C10" s="37" t="n">
        <f aca="false">'TAM Build'!C128-'TAM Build'!C10+(Assumptions!$C$5*Assumptions!$D$6+Assumptions!$C$7*Assumptions!$C$8)*Assumptions!$C$9</f>
        <v>945165000</v>
      </c>
      <c r="D10" s="45" t="n">
        <f aca="false">C10-B10</f>
        <v>70500000</v>
      </c>
      <c r="E10" s="46" t="n">
        <f aca="false">D10/'TAM Build'!C128</f>
        <v>0.0786992850086234</v>
      </c>
    </row>
    <row r="11" customFormat="false" ht="15" hidden="false" customHeight="false" outlineLevel="0" collapsed="false">
      <c r="A11" s="34" t="s">
        <v>559</v>
      </c>
      <c r="B11" s="37" t="n">
        <f aca="false">'TAM Build'!C128-'TAM Build'!C32+Assumptions!$B$20*Assumptions!$C$21</f>
        <v>865815000</v>
      </c>
      <c r="C11" s="37" t="n">
        <f aca="false">'TAM Build'!C128-'TAM Build'!C32+Assumptions!$D$20*Assumptions!$C$21</f>
        <v>935815000</v>
      </c>
      <c r="D11" s="45" t="n">
        <f aca="false">C11-B11</f>
        <v>70000000</v>
      </c>
      <c r="E11" s="46" t="n">
        <f aca="false">D11/'TAM Build'!C128</f>
        <v>0.0781411340511155</v>
      </c>
    </row>
    <row r="12" customFormat="false" ht="15" hidden="false" customHeight="false" outlineLevel="0" collapsed="false">
      <c r="A12" s="34" t="s">
        <v>560</v>
      </c>
      <c r="B12" s="37" t="n">
        <f aca="false">'TAM Build'!C128-'TAM Build'!C92+Assumptions!$B$56*Assumptions!$C$57+Assumptions!$C$58*Assumptions!$C$59</f>
        <v>875815000</v>
      </c>
      <c r="C12" s="37" t="n">
        <f aca="false">'TAM Build'!C128-'TAM Build'!C92+Assumptions!$D$56*Assumptions!$C$57+Assumptions!$C$58*Assumptions!$C$59</f>
        <v>935815000</v>
      </c>
      <c r="D12" s="45" t="n">
        <f aca="false">C12-B12</f>
        <v>60000000</v>
      </c>
      <c r="E12" s="46" t="n">
        <f aca="false">D12/'TAM Build'!C128</f>
        <v>0.0669781149009561</v>
      </c>
    </row>
    <row r="13" customFormat="false" ht="15" hidden="false" customHeight="false" outlineLevel="0" collapsed="false">
      <c r="A13" s="34" t="s">
        <v>561</v>
      </c>
      <c r="B13" s="37" t="n">
        <f aca="false">'TAM Build'!C128-'TAM Build'!C43+Assumptions!$B$25*Assumptions!$C$26</f>
        <v>878315000</v>
      </c>
      <c r="C13" s="37" t="n">
        <f aca="false">'TAM Build'!C128-'TAM Build'!C43+Assumptions!$D$25*Assumptions!$C$26</f>
        <v>933315000</v>
      </c>
      <c r="D13" s="45" t="n">
        <f aca="false">C13-B13</f>
        <v>55000000</v>
      </c>
      <c r="E13" s="46" t="n">
        <f aca="false">D13/'TAM Build'!C128</f>
        <v>0.0613966053258764</v>
      </c>
    </row>
    <row r="14" customFormat="false" ht="15" hidden="false" customHeight="false" outlineLevel="0" collapsed="false">
      <c r="A14" s="34" t="s">
        <v>562</v>
      </c>
      <c r="B14" s="37" t="n">
        <f aca="false">'TAM Build'!C128-'TAM Build'!C105+Assumptions!$B$63+Assumptions!$C$64</f>
        <v>885815000</v>
      </c>
      <c r="C14" s="37" t="n">
        <f aca="false">'TAM Build'!C128-'TAM Build'!C105+Assumptions!$D$63+Assumptions!$C$64</f>
        <v>910815000</v>
      </c>
      <c r="D14" s="45" t="n">
        <f aca="false">C14-B14</f>
        <v>25000000</v>
      </c>
      <c r="E14" s="46" t="n">
        <f aca="false">D14/'TAM Build'!C128</f>
        <v>0.0279075478753984</v>
      </c>
    </row>
    <row r="15" customFormat="false" ht="15" hidden="false" customHeight="false" outlineLevel="0" collapsed="false">
      <c r="A15" s="34" t="s">
        <v>563</v>
      </c>
      <c r="B15" s="37" t="n">
        <f aca="false">'TAM Build'!C128-'TAM Build'!C69+Assumptions!$B$39*Assumptions!$C$40+Assumptions!$B$39*Assumptions!$C$41*Assumptions!$C$42</f>
        <v>889815000</v>
      </c>
      <c r="C15" s="37" t="n">
        <f aca="false">'TAM Build'!C128-'TAM Build'!C69+Assumptions!$D$39*Assumptions!$C$40+Assumptions!$D$39*Assumptions!$C$41*Assumptions!$C$42</f>
        <v>907065000</v>
      </c>
      <c r="D15" s="45" t="n">
        <f aca="false">C15-B15</f>
        <v>17250000</v>
      </c>
      <c r="E15" s="46" t="n">
        <f aca="false">D15/'TAM Build'!C128</f>
        <v>0.0192562080340249</v>
      </c>
    </row>
    <row r="16" customFormat="false" ht="15" hidden="false" customHeight="false" outlineLevel="0" collapsed="false">
      <c r="A16" s="7"/>
      <c r="B16" s="7"/>
      <c r="C16" s="7"/>
      <c r="D16" s="7"/>
      <c r="E16" s="7"/>
    </row>
    <row r="17" customFormat="false" ht="16.15" hidden="false" customHeight="false" outlineLevel="0" collapsed="false">
      <c r="A17" s="6" t="s">
        <v>564</v>
      </c>
      <c r="B17" s="7"/>
      <c r="C17" s="7"/>
      <c r="D17" s="7"/>
      <c r="E17" s="7"/>
    </row>
    <row r="18" customFormat="false" ht="15" hidden="false" customHeight="false" outlineLevel="0" collapsed="false">
      <c r="A18" s="8" t="s">
        <v>547</v>
      </c>
      <c r="B18" s="8" t="s">
        <v>565</v>
      </c>
      <c r="C18" s="8" t="s">
        <v>566</v>
      </c>
      <c r="D18" s="8" t="s">
        <v>550</v>
      </c>
      <c r="E18" s="8" t="s">
        <v>567</v>
      </c>
    </row>
    <row r="19" customFormat="false" ht="15" hidden="false" customHeight="false" outlineLevel="0" collapsed="false">
      <c r="A19" s="34" t="s">
        <v>568</v>
      </c>
      <c r="B19" s="37" t="n">
        <f aca="false">'SAM &amp; SOM'!C16-'SAM &amp; SOM'!C14+Assumptions!$C$86*Assumptions!$C$85*Assumptions!$C$87*Assumptions!$B$88*Assumptions!$C$89</f>
        <v>41920777.125</v>
      </c>
      <c r="C19" s="37" t="n">
        <f aca="false">'SAM &amp; SOM'!C16-'SAM &amp; SOM'!C14+Assumptions!$C$86*Assumptions!$C$85*Assumptions!$C$87*Assumptions!$D$88*Assumptions!$C$89</f>
        <v>82083277.125</v>
      </c>
      <c r="D19" s="45" t="n">
        <f aca="false">C19-B19</f>
        <v>40162500</v>
      </c>
      <c r="E19" s="46" t="n">
        <f aca="false">D19/'SAM &amp; SOM'!C16</f>
        <v>0.726157133935493</v>
      </c>
    </row>
    <row r="20" customFormat="false" ht="15" hidden="false" customHeight="false" outlineLevel="0" collapsed="false">
      <c r="A20" s="34" t="s">
        <v>569</v>
      </c>
      <c r="B20" s="37" t="n">
        <f aca="false">'SAM &amp; SOM'!C16-'SAM &amp; SOM'!C14+Assumptions!$C$86*Assumptions!$C$85*Assumptions!$C$87*Assumptions!$C$88*Assumptions!$B$89</f>
        <v>41920777.125</v>
      </c>
      <c r="C20" s="37" t="n">
        <f aca="false">'SAM &amp; SOM'!C16-'SAM &amp; SOM'!C14+Assumptions!$C$86*Assumptions!$C$85*Assumptions!$C$87*Assumptions!$C$88*Assumptions!$D$89</f>
        <v>65750527.125</v>
      </c>
      <c r="D20" s="45" t="n">
        <f aca="false">C20-B20</f>
        <v>23829750</v>
      </c>
      <c r="E20" s="46" t="n">
        <f aca="false">D20/'SAM &amp; SOM'!C16</f>
        <v>0.430853232801726</v>
      </c>
    </row>
    <row r="21" customFormat="false" ht="15" hidden="false" customHeight="false" outlineLevel="0" collapsed="false">
      <c r="A21" s="34" t="s">
        <v>570</v>
      </c>
      <c r="B21" s="37" t="n">
        <f aca="false">'SAM &amp; SOM'!C16-'SAM &amp; SOM'!C14+Assumptions!$C$86*Assumptions!$B$85*Assumptions!$C$87*Assumptions!$C$88*Assumptions!$C$89</f>
        <v>45363277.125</v>
      </c>
      <c r="C21" s="37" t="n">
        <f aca="false">'SAM &amp; SOM'!C16-'SAM &amp; SOM'!C14+Assumptions!$C$86*Assumptions!$D$85*Assumptions!$C$87*Assumptions!$C$88*Assumptions!$C$89</f>
        <v>66783277.125</v>
      </c>
      <c r="D21" s="45" t="n">
        <f aca="false">C21-B21</f>
        <v>21420000</v>
      </c>
      <c r="E21" s="46" t="n">
        <f aca="false">D21/'SAM &amp; SOM'!C16</f>
        <v>0.387283804765596</v>
      </c>
    </row>
    <row r="22" customFormat="false" ht="15" hidden="false" customHeight="false" outlineLevel="0" collapsed="false">
      <c r="A22" s="34" t="s">
        <v>571</v>
      </c>
      <c r="B22" s="37" t="n">
        <f aca="false">'SAM &amp; SOM'!C16-'SAM &amp; SOM'!C6+Assumptions!$C$77*Assumptions!$B$78</f>
        <v>50769277.125</v>
      </c>
      <c r="C22" s="37" t="n">
        <f aca="false">'SAM &amp; SOM'!C16-'SAM &amp; SOM'!C6+Assumptions!$C$77*Assumptions!$D$78</f>
        <v>64653277.125</v>
      </c>
      <c r="D22" s="45" t="n">
        <f aca="false">C22-B22</f>
        <v>13884000</v>
      </c>
      <c r="E22" s="46" t="n">
        <f aca="false">D22/'SAM &amp; SOM'!C16</f>
        <v>0.251029334517532</v>
      </c>
    </row>
    <row r="23" customFormat="false" ht="15" hidden="false" customHeight="false" outlineLevel="0" collapsed="false">
      <c r="A23" s="34" t="s">
        <v>572</v>
      </c>
      <c r="B23" s="37" t="n">
        <f aca="false">'SAM &amp; SOM'!C16-'SAM &amp; SOM'!C6-'SAM &amp; SOM'!C7+Assumptions!$B$77*(Assumptions!$C$78+Assumptions!$C$79)</f>
        <v>49508277.125</v>
      </c>
      <c r="C23" s="37" t="n">
        <f aca="false">'SAM &amp; SOM'!C16-'SAM &amp; SOM'!C6-'SAM &amp; SOM'!C7+Assumptions!$D$77*(Assumptions!$C$78+Assumptions!$C$79)</f>
        <v>62558277.125</v>
      </c>
      <c r="D23" s="45" t="n">
        <f aca="false">C23-B23</f>
        <v>13050000</v>
      </c>
      <c r="E23" s="46" t="n">
        <f aca="false">D23/'SAM &amp; SOM'!C16</f>
        <v>0.235950217189124</v>
      </c>
    </row>
    <row r="24" customFormat="false" ht="15" hidden="false" customHeight="false" outlineLevel="0" collapsed="false">
      <c r="A24" s="34" t="s">
        <v>366</v>
      </c>
      <c r="B24" s="37" t="n">
        <f aca="false">'SAM &amp; SOM'!C16-'SAM &amp; SOM'!C9+Assumptions!$B$84*Assumptions!$C$57</f>
        <v>52308277.125</v>
      </c>
      <c r="C24" s="37" t="n">
        <f aca="false">'SAM &amp; SOM'!C16-'SAM &amp; SOM'!C9+Assumptions!$D$84*Assumptions!$C$57</f>
        <v>61908277.125</v>
      </c>
      <c r="D24" s="45" t="n">
        <f aca="false">C24-B24</f>
        <v>9600000</v>
      </c>
      <c r="E24" s="46" t="n">
        <f aca="false">D24/'SAM &amp; SOM'!C16</f>
        <v>0.173572573564413</v>
      </c>
    </row>
    <row r="25" customFormat="false" ht="15" hidden="false" customHeight="false" outlineLevel="0" collapsed="false">
      <c r="A25" s="34" t="s">
        <v>573</v>
      </c>
      <c r="B25" s="37" t="n">
        <f aca="false">'SAM &amp; SOM'!C16-'SAM &amp; SOM'!C8+Assumptions!$C$80*Assumptions!$C$81*Assumptions!$B$82*Assumptions!$C$83</f>
        <v>53846677.125</v>
      </c>
      <c r="C25" s="37" t="n">
        <f aca="false">'SAM &amp; SOM'!C16-'SAM &amp; SOM'!C8+Assumptions!$C$80*Assumptions!$C$81*Assumptions!$D$82*Assumptions!$C$83</f>
        <v>56978677.125</v>
      </c>
      <c r="D25" s="45" t="n">
        <f aca="false">C25-B25</f>
        <v>3132000</v>
      </c>
      <c r="E25" s="46" t="n">
        <f aca="false">D25/'SAM &amp; SOM'!C16</f>
        <v>0.0566280521253897</v>
      </c>
    </row>
    <row r="26" customFormat="false" ht="15" hidden="false" customHeight="false" outlineLevel="0" collapsed="false">
      <c r="A26" s="7"/>
      <c r="B26" s="7"/>
      <c r="C26" s="7"/>
      <c r="D26" s="7"/>
      <c r="E26" s="7"/>
    </row>
    <row r="27" customFormat="false" ht="15" hidden="false" customHeight="false" outlineLevel="0" collapsed="false">
      <c r="A27" s="36" t="s">
        <v>574</v>
      </c>
      <c r="B27" s="7"/>
      <c r="C27" s="7"/>
      <c r="D27" s="7"/>
      <c r="E27"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2026-09-19T13:56:13Z</dcterms:created>
  <dc:creator>openpyxl</dc:creator>
  <dc:description/>
  <dc:language>en-US</dc:language>
  <cp:lastModifiedBy/>
  <dcterms:modified xsi:type="dcterms:W3CDTF">2026-09-19T13:56:13Z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